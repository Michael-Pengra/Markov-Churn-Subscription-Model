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Game Of Life\"/>
    </mc:Choice>
  </mc:AlternateContent>
  <xr:revisionPtr revIDLastSave="0" documentId="13_ncr:1_{F6E6216F-C040-4E77-BF90-90AEADD082F0}" xr6:coauthVersionLast="47" xr6:coauthVersionMax="47" xr10:uidLastSave="{00000000-0000-0000-0000-000000000000}"/>
  <bookViews>
    <workbookView xWindow="2280" yWindow="2280" windowWidth="19200" windowHeight="10900" activeTab="1" xr2:uid="{A2639ED5-2135-4EFD-8367-3F4F58EEECB2}"/>
  </bookViews>
  <sheets>
    <sheet name="Inputs" sheetId="1" r:id="rId1"/>
    <sheet name="Steady State" sheetId="3" r:id="rId2"/>
    <sheet name="Risk Metrics" sheetId="4" r:id="rId3"/>
  </sheets>
  <definedNames>
    <definedName name="_xlchart.v1.0" hidden="1">'Risk Metrics'!$N$5:$N$7</definedName>
    <definedName name="_xlchart.v1.1" hidden="1">'Risk Metrics'!$O$5:$O$7</definedName>
    <definedName name="BasicPlan_Growth">Inputs!$C$5</definedName>
    <definedName name="BasicPlanPrice">Inputs!$C$11</definedName>
    <definedName name="Beg_InactiveSubs">Inputs!$C$10</definedName>
    <definedName name="BegActiveSubs">Inputs!$C$7</definedName>
    <definedName name="BegBasicSubs">Inputs!$C$8</definedName>
    <definedName name="BegPremiumSubs">Inputs!$C$9</definedName>
    <definedName name="CAC">Inputs!$C$14</definedName>
    <definedName name="GrossMarginPercent">Inputs!$C$13</definedName>
    <definedName name="New_Signups">Inputs!$C$2</definedName>
    <definedName name="P_Matrix">Inputs!$F$17:$I$20</definedName>
    <definedName name="PremiumPlan_Grwoth">Inputs!$C$6</definedName>
    <definedName name="PremiumPlanPrice">Inputs!$C$12</definedName>
    <definedName name="Time_Horizon">Inputs!$C$15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4" l="1"/>
  <c r="B9" i="4"/>
  <c r="B8" i="4"/>
  <c r="A16" i="4"/>
  <c r="O3" i="3"/>
  <c r="O4" i="3" s="1"/>
  <c r="P3" i="3"/>
  <c r="P4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M903" i="3" s="1"/>
  <c r="M904" i="3" s="1"/>
  <c r="M905" i="3" s="1"/>
  <c r="M906" i="3" s="1"/>
  <c r="M907" i="3" s="1"/>
  <c r="M908" i="3" s="1"/>
  <c r="M909" i="3" s="1"/>
  <c r="M910" i="3" s="1"/>
  <c r="M911" i="3" s="1"/>
  <c r="M912" i="3" s="1"/>
  <c r="M913" i="3" s="1"/>
  <c r="M914" i="3" s="1"/>
  <c r="M915" i="3" s="1"/>
  <c r="M916" i="3" s="1"/>
  <c r="M917" i="3" s="1"/>
  <c r="M918" i="3" s="1"/>
  <c r="M919" i="3" s="1"/>
  <c r="M920" i="3" s="1"/>
  <c r="M921" i="3" s="1"/>
  <c r="M922" i="3" s="1"/>
  <c r="M923" i="3" s="1"/>
  <c r="M924" i="3" s="1"/>
  <c r="M925" i="3" s="1"/>
  <c r="M926" i="3" s="1"/>
  <c r="M927" i="3" s="1"/>
  <c r="M928" i="3" s="1"/>
  <c r="M929" i="3" s="1"/>
  <c r="M930" i="3" s="1"/>
  <c r="M931" i="3" s="1"/>
  <c r="M932" i="3" s="1"/>
  <c r="M933" i="3" s="1"/>
  <c r="M934" i="3" s="1"/>
  <c r="M935" i="3" s="1"/>
  <c r="M936" i="3" s="1"/>
  <c r="M937" i="3" s="1"/>
  <c r="M938" i="3" s="1"/>
  <c r="M939" i="3" s="1"/>
  <c r="M940" i="3" s="1"/>
  <c r="M941" i="3" s="1"/>
  <c r="M942" i="3" s="1"/>
  <c r="M943" i="3" s="1"/>
  <c r="M944" i="3" s="1"/>
  <c r="M945" i="3" s="1"/>
  <c r="M946" i="3" s="1"/>
  <c r="M947" i="3" s="1"/>
  <c r="M948" i="3" s="1"/>
  <c r="M949" i="3" s="1"/>
  <c r="M950" i="3" s="1"/>
  <c r="M951" i="3" s="1"/>
  <c r="M952" i="3" s="1"/>
  <c r="M953" i="3" s="1"/>
  <c r="M954" i="3" s="1"/>
  <c r="M955" i="3" s="1"/>
  <c r="M956" i="3" s="1"/>
  <c r="M957" i="3" s="1"/>
  <c r="M958" i="3" s="1"/>
  <c r="M959" i="3" s="1"/>
  <c r="M960" i="3" s="1"/>
  <c r="M961" i="3" s="1"/>
  <c r="M962" i="3" s="1"/>
  <c r="M963" i="3" s="1"/>
  <c r="M964" i="3" s="1"/>
  <c r="M965" i="3" s="1"/>
  <c r="M966" i="3" s="1"/>
  <c r="M967" i="3" s="1"/>
  <c r="M968" i="3" s="1"/>
  <c r="M969" i="3" s="1"/>
  <c r="M970" i="3" s="1"/>
  <c r="M971" i="3" s="1"/>
  <c r="M972" i="3" s="1"/>
  <c r="M973" i="3" s="1"/>
  <c r="M974" i="3" s="1"/>
  <c r="M975" i="3" s="1"/>
  <c r="M976" i="3" s="1"/>
  <c r="M977" i="3" s="1"/>
  <c r="M978" i="3" s="1"/>
  <c r="M979" i="3" s="1"/>
  <c r="M980" i="3" s="1"/>
  <c r="M981" i="3" s="1"/>
  <c r="M982" i="3" s="1"/>
  <c r="M983" i="3" s="1"/>
  <c r="M984" i="3" s="1"/>
  <c r="M985" i="3" s="1"/>
  <c r="M986" i="3" s="1"/>
  <c r="M987" i="3" s="1"/>
  <c r="M988" i="3" s="1"/>
  <c r="M989" i="3" s="1"/>
  <c r="M990" i="3" s="1"/>
  <c r="M991" i="3" s="1"/>
  <c r="M992" i="3" s="1"/>
  <c r="M993" i="3" s="1"/>
  <c r="M994" i="3" s="1"/>
  <c r="M995" i="3" s="1"/>
  <c r="M996" i="3" s="1"/>
  <c r="M997" i="3" s="1"/>
  <c r="M998" i="3" s="1"/>
  <c r="M999" i="3" s="1"/>
  <c r="M1000" i="3" s="1"/>
  <c r="M1001" i="3" s="1"/>
  <c r="M1002" i="3" s="1"/>
  <c r="F2" i="3"/>
  <c r="G29" i="1"/>
  <c r="D2" i="3" s="1"/>
  <c r="F29" i="1"/>
  <c r="C2" i="3" s="1"/>
  <c r="C10" i="1"/>
  <c r="H29" i="1" s="1"/>
  <c r="E2" i="3" s="1"/>
  <c r="F25" i="1"/>
  <c r="G25" i="1"/>
  <c r="N3" i="3" s="1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C9" i="4" l="1"/>
  <c r="N546" i="3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H3" i="3" a="1"/>
  <c r="F3" i="3" s="1"/>
  <c r="N562" i="3" l="1"/>
  <c r="E3" i="3"/>
  <c r="D3" i="3"/>
  <c r="H3" i="3"/>
  <c r="C3" i="3" s="1"/>
  <c r="N563" i="3" l="1"/>
  <c r="H4" i="3" a="1"/>
  <c r="F4" i="3" s="1"/>
  <c r="D4" i="3" l="1"/>
  <c r="E4" i="3"/>
  <c r="N564" i="3"/>
  <c r="H4" i="3"/>
  <c r="C4" i="3" s="1"/>
  <c r="N565" i="3" l="1"/>
  <c r="H5" i="3" a="1"/>
  <c r="F5" i="3" s="1"/>
  <c r="E5" i="3" l="1"/>
  <c r="D5" i="3"/>
  <c r="N566" i="3"/>
  <c r="H5" i="3"/>
  <c r="C5" i="3" l="1"/>
  <c r="N567" i="3"/>
  <c r="H6" i="3" l="1" a="1"/>
  <c r="F6" i="3" s="1"/>
  <c r="N568" i="3"/>
  <c r="H6" i="3" l="1"/>
  <c r="C6" i="3" s="1"/>
  <c r="E6" i="3"/>
  <c r="D6" i="3"/>
  <c r="N569" i="3"/>
  <c r="H7" i="3" l="1" a="1"/>
  <c r="E7" i="3" s="1"/>
  <c r="N570" i="3"/>
  <c r="F7" i="3" l="1"/>
  <c r="D7" i="3"/>
  <c r="H7" i="3"/>
  <c r="C7" i="3" s="1"/>
  <c r="N571" i="3"/>
  <c r="H8" i="3" l="1" a="1"/>
  <c r="N572" i="3"/>
  <c r="F8" i="3" l="1"/>
  <c r="H8" i="3"/>
  <c r="C8" i="3" s="1"/>
  <c r="E8" i="3"/>
  <c r="D8" i="3"/>
  <c r="N573" i="3"/>
  <c r="H9" i="3" l="1" a="1"/>
  <c r="N574" i="3"/>
  <c r="F9" i="3" l="1"/>
  <c r="E9" i="3"/>
  <c r="D9" i="3"/>
  <c r="H9" i="3"/>
  <c r="C9" i="3" s="1"/>
  <c r="N575" i="3"/>
  <c r="H10" i="3" l="1" a="1"/>
  <c r="N576" i="3"/>
  <c r="H10" i="3" l="1"/>
  <c r="C10" i="3" s="1"/>
  <c r="F10" i="3"/>
  <c r="D10" i="3"/>
  <c r="E10" i="3"/>
  <c r="N577" i="3"/>
  <c r="H11" i="3" l="1" a="1"/>
  <c r="N578" i="3"/>
  <c r="D11" i="3" l="1"/>
  <c r="F11" i="3"/>
  <c r="H11" i="3"/>
  <c r="C11" i="3" s="1"/>
  <c r="E11" i="3"/>
  <c r="H12" i="3" a="1"/>
  <c r="F12" i="3" s="1"/>
  <c r="N579" i="3"/>
  <c r="H12" i="3" l="1"/>
  <c r="C12" i="3" s="1"/>
  <c r="E12" i="3"/>
  <c r="D12" i="3"/>
  <c r="N580" i="3"/>
  <c r="C4" i="4" l="1"/>
  <c r="C16" i="4"/>
  <c r="C3" i="4"/>
  <c r="B16" i="4"/>
  <c r="D16" i="4" s="1"/>
  <c r="H13" i="3" a="1"/>
  <c r="N581" i="3"/>
  <c r="N582" i="3" s="1"/>
  <c r="C5" i="4" l="1"/>
  <c r="C7" i="4"/>
  <c r="C6" i="4"/>
  <c r="O5" i="4" s="1"/>
  <c r="C8" i="4"/>
  <c r="F13" i="3"/>
  <c r="D13" i="3"/>
  <c r="E13" i="3"/>
  <c r="H13" i="3"/>
  <c r="C13" i="3" s="1"/>
  <c r="N583" i="3"/>
  <c r="H14" i="3" l="1" a="1"/>
  <c r="N584" i="3"/>
  <c r="H14" i="3" l="1"/>
  <c r="C14" i="3" s="1"/>
  <c r="D14" i="3"/>
  <c r="E14" i="3"/>
  <c r="F14" i="3"/>
  <c r="N585" i="3"/>
  <c r="H15" i="3" l="1" a="1"/>
  <c r="N586" i="3"/>
  <c r="D15" i="3" l="1"/>
  <c r="F15" i="3"/>
  <c r="E15" i="3"/>
  <c r="H15" i="3"/>
  <c r="C15" i="3" s="1"/>
  <c r="N587" i="3"/>
  <c r="H16" i="3" l="1" a="1"/>
  <c r="N588" i="3"/>
  <c r="H16" i="3" l="1"/>
  <c r="C16" i="3" s="1"/>
  <c r="D16" i="3"/>
  <c r="F16" i="3"/>
  <c r="E16" i="3"/>
  <c r="N589" i="3"/>
  <c r="H17" i="3" l="1" a="1"/>
  <c r="N590" i="3"/>
  <c r="F17" i="3" l="1"/>
  <c r="E17" i="3"/>
  <c r="D17" i="3"/>
  <c r="H17" i="3"/>
  <c r="C17" i="3" s="1"/>
  <c r="N591" i="3"/>
  <c r="H18" i="3" l="1" a="1"/>
  <c r="N592" i="3"/>
  <c r="F18" i="3" l="1"/>
  <c r="E18" i="3"/>
  <c r="D18" i="3"/>
  <c r="H18" i="3"/>
  <c r="C18" i="3" s="1"/>
  <c r="N593" i="3"/>
  <c r="H19" i="3" l="1" a="1"/>
  <c r="N594" i="3"/>
  <c r="H19" i="3" l="1"/>
  <c r="C19" i="3" s="1"/>
  <c r="D19" i="3"/>
  <c r="F19" i="3"/>
  <c r="E19" i="3"/>
  <c r="N595" i="3"/>
  <c r="H20" i="3" l="1" a="1"/>
  <c r="N596" i="3"/>
  <c r="F20" i="3" l="1"/>
  <c r="E20" i="3"/>
  <c r="D20" i="3"/>
  <c r="H20" i="3"/>
  <c r="C20" i="3" s="1"/>
  <c r="N597" i="3"/>
  <c r="H21" i="3" l="1" a="1"/>
  <c r="N598" i="3"/>
  <c r="H21" i="3" l="1"/>
  <c r="C21" i="3" s="1"/>
  <c r="D21" i="3"/>
  <c r="F21" i="3"/>
  <c r="E21" i="3"/>
  <c r="N599" i="3"/>
  <c r="H22" i="3" l="1" a="1"/>
  <c r="N600" i="3"/>
  <c r="D22" i="3" l="1"/>
  <c r="F22" i="3"/>
  <c r="H22" i="3"/>
  <c r="C22" i="3" s="1"/>
  <c r="E22" i="3"/>
  <c r="N601" i="3"/>
  <c r="H23" i="3" l="1" a="1"/>
  <c r="N602" i="3"/>
  <c r="F23" i="3" l="1"/>
  <c r="E23" i="3"/>
  <c r="D23" i="3"/>
  <c r="H23" i="3"/>
  <c r="C23" i="3" s="1"/>
  <c r="N603" i="3"/>
  <c r="H24" i="3" l="1" a="1"/>
  <c r="N604" i="3"/>
  <c r="F24" i="3" l="1"/>
  <c r="E24" i="3"/>
  <c r="D24" i="3"/>
  <c r="H24" i="3"/>
  <c r="C24" i="3" s="1"/>
  <c r="N605" i="3"/>
  <c r="H25" i="3" l="1" a="1"/>
  <c r="N606" i="3"/>
  <c r="F25" i="3" l="1"/>
  <c r="E25" i="3"/>
  <c r="D25" i="3"/>
  <c r="H25" i="3"/>
  <c r="C25" i="3" s="1"/>
  <c r="N607" i="3"/>
  <c r="H26" i="3" l="1" a="1"/>
  <c r="N608" i="3"/>
  <c r="H26" i="3" l="1"/>
  <c r="C26" i="3" s="1"/>
  <c r="D26" i="3"/>
  <c r="F26" i="3"/>
  <c r="E26" i="3"/>
  <c r="N609" i="3"/>
  <c r="H27" i="3" l="1" a="1"/>
  <c r="N610" i="3"/>
  <c r="F27" i="3" l="1"/>
  <c r="E27" i="3"/>
  <c r="D27" i="3"/>
  <c r="H27" i="3"/>
  <c r="C27" i="3" s="1"/>
  <c r="N611" i="3"/>
  <c r="H28" i="3" l="1" a="1"/>
  <c r="N612" i="3"/>
  <c r="F28" i="3" l="1"/>
  <c r="E28" i="3"/>
  <c r="D28" i="3"/>
  <c r="H28" i="3"/>
  <c r="C28" i="3" s="1"/>
  <c r="N613" i="3"/>
  <c r="H29" i="3" l="1" a="1"/>
  <c r="N614" i="3"/>
  <c r="F29" i="3" l="1"/>
  <c r="E29" i="3"/>
  <c r="D29" i="3"/>
  <c r="H29" i="3"/>
  <c r="C29" i="3" s="1"/>
  <c r="N615" i="3"/>
  <c r="H30" i="3" l="1" a="1"/>
  <c r="N616" i="3"/>
  <c r="F30" i="3" l="1"/>
  <c r="H30" i="3"/>
  <c r="C30" i="3" s="1"/>
  <c r="E30" i="3"/>
  <c r="D30" i="3"/>
  <c r="N617" i="3"/>
  <c r="H31" i="3" l="1" a="1"/>
  <c r="N618" i="3"/>
  <c r="F31" i="3" l="1"/>
  <c r="E31" i="3"/>
  <c r="D31" i="3"/>
  <c r="H31" i="3"/>
  <c r="C31" i="3" s="1"/>
  <c r="N619" i="3"/>
  <c r="H32" i="3" l="1" a="1"/>
  <c r="N620" i="3"/>
  <c r="F32" i="3" l="1"/>
  <c r="H32" i="3"/>
  <c r="C32" i="3" s="1"/>
  <c r="E32" i="3"/>
  <c r="D32" i="3"/>
  <c r="N621" i="3"/>
  <c r="H33" i="3" l="1" a="1"/>
  <c r="N622" i="3"/>
  <c r="H33" i="3" l="1"/>
  <c r="C33" i="3" s="1"/>
  <c r="F33" i="3"/>
  <c r="E33" i="3"/>
  <c r="D33" i="3"/>
  <c r="N623" i="3"/>
  <c r="H34" i="3" l="1" a="1"/>
  <c r="N624" i="3"/>
  <c r="E34" i="3" l="1"/>
  <c r="H34" i="3"/>
  <c r="C34" i="3" s="1"/>
  <c r="D34" i="3"/>
  <c r="F34" i="3"/>
  <c r="N625" i="3"/>
  <c r="N626" i="3" s="1"/>
  <c r="H35" i="3" l="1" a="1"/>
  <c r="N627" i="3"/>
  <c r="D35" i="3" l="1"/>
  <c r="F35" i="3"/>
  <c r="E35" i="3"/>
  <c r="H35" i="3"/>
  <c r="C35" i="3" s="1"/>
  <c r="N628" i="3"/>
  <c r="H36" i="3" l="1" a="1"/>
  <c r="N629" i="3"/>
  <c r="D36" i="3" l="1"/>
  <c r="F36" i="3"/>
  <c r="E36" i="3"/>
  <c r="H36" i="3"/>
  <c r="C36" i="3" s="1"/>
  <c r="N630" i="3"/>
  <c r="H37" i="3" l="1" a="1"/>
  <c r="N631" i="3"/>
  <c r="D37" i="3" l="1"/>
  <c r="F37" i="3"/>
  <c r="E37" i="3"/>
  <c r="H37" i="3"/>
  <c r="C37" i="3" s="1"/>
  <c r="N632" i="3"/>
  <c r="H38" i="3" l="1" a="1"/>
  <c r="N633" i="3"/>
  <c r="H38" i="3" l="1"/>
  <c r="C38" i="3" s="1"/>
  <c r="D38" i="3"/>
  <c r="F38" i="3"/>
  <c r="E38" i="3"/>
  <c r="N634" i="3"/>
  <c r="H39" i="3" l="1" a="1"/>
  <c r="N635" i="3"/>
  <c r="D39" i="3" l="1"/>
  <c r="F39" i="3"/>
  <c r="E39" i="3"/>
  <c r="H39" i="3"/>
  <c r="C39" i="3" s="1"/>
  <c r="N636" i="3"/>
  <c r="H40" i="3" l="1" a="1"/>
  <c r="N637" i="3"/>
  <c r="D40" i="3" l="1"/>
  <c r="F40" i="3"/>
  <c r="E40" i="3"/>
  <c r="H40" i="3"/>
  <c r="C40" i="3" s="1"/>
  <c r="N638" i="3"/>
  <c r="H41" i="3" l="1" a="1"/>
  <c r="N639" i="3"/>
  <c r="H41" i="3" l="1"/>
  <c r="C41" i="3" s="1"/>
  <c r="D41" i="3"/>
  <c r="F41" i="3"/>
  <c r="E41" i="3"/>
  <c r="N640" i="3"/>
  <c r="H42" i="3" l="1" a="1"/>
  <c r="N641" i="3"/>
  <c r="H42" i="3" l="1"/>
  <c r="C42" i="3" s="1"/>
  <c r="D42" i="3"/>
  <c r="F42" i="3"/>
  <c r="E42" i="3"/>
  <c r="N642" i="3"/>
  <c r="H43" i="3" l="1" a="1"/>
  <c r="N643" i="3"/>
  <c r="F43" i="3" l="1"/>
  <c r="H43" i="3"/>
  <c r="C43" i="3" s="1"/>
  <c r="E43" i="3"/>
  <c r="D43" i="3"/>
  <c r="N644" i="3"/>
  <c r="H44" i="3" l="1" a="1"/>
  <c r="N645" i="3"/>
  <c r="H44" i="3" l="1"/>
  <c r="C44" i="3" s="1"/>
  <c r="D44" i="3"/>
  <c r="F44" i="3"/>
  <c r="E44" i="3"/>
  <c r="N646" i="3"/>
  <c r="H45" i="3" l="1" a="1"/>
  <c r="N647" i="3"/>
  <c r="F45" i="3" l="1"/>
  <c r="H45" i="3"/>
  <c r="C45" i="3" s="1"/>
  <c r="E45" i="3"/>
  <c r="D45" i="3"/>
  <c r="N648" i="3"/>
  <c r="H46" i="3" l="1" a="1"/>
  <c r="N649" i="3"/>
  <c r="F46" i="3" l="1"/>
  <c r="E46" i="3"/>
  <c r="D46" i="3"/>
  <c r="H46" i="3"/>
  <c r="C46" i="3" s="1"/>
  <c r="N650" i="3"/>
  <c r="H47" i="3" l="1" a="1"/>
  <c r="N651" i="3"/>
  <c r="H47" i="3" l="1"/>
  <c r="C47" i="3" s="1"/>
  <c r="E47" i="3"/>
  <c r="D47" i="3"/>
  <c r="F47" i="3"/>
  <c r="N652" i="3"/>
  <c r="H48" i="3" l="1" a="1"/>
  <c r="N653" i="3"/>
  <c r="D48" i="3" l="1"/>
  <c r="F48" i="3"/>
  <c r="H48" i="3"/>
  <c r="C48" i="3" s="1"/>
  <c r="E48" i="3"/>
  <c r="N654" i="3"/>
  <c r="H49" i="3" l="1" a="1"/>
  <c r="N655" i="3"/>
  <c r="D49" i="3" l="1"/>
  <c r="F49" i="3"/>
  <c r="H49" i="3"/>
  <c r="C49" i="3" s="1"/>
  <c r="E49" i="3"/>
  <c r="N656" i="3"/>
  <c r="H50" i="3" l="1" a="1"/>
  <c r="N657" i="3"/>
  <c r="F50" i="3" l="1"/>
  <c r="D50" i="3"/>
  <c r="H50" i="3"/>
  <c r="C50" i="3" s="1"/>
  <c r="E50" i="3"/>
  <c r="N658" i="3"/>
  <c r="H51" i="3" l="1" a="1"/>
  <c r="N659" i="3"/>
  <c r="D51" i="3" l="1"/>
  <c r="F51" i="3"/>
  <c r="H51" i="3"/>
  <c r="C51" i="3" s="1"/>
  <c r="E51" i="3"/>
  <c r="N660" i="3"/>
  <c r="H52" i="3" l="1" a="1"/>
  <c r="N661" i="3"/>
  <c r="D52" i="3" l="1"/>
  <c r="F52" i="3"/>
  <c r="E52" i="3"/>
  <c r="H52" i="3"/>
  <c r="C52" i="3" s="1"/>
  <c r="N662" i="3"/>
  <c r="H53" i="3" l="1" a="1"/>
  <c r="N663" i="3"/>
  <c r="F53" i="3" l="1"/>
  <c r="D53" i="3"/>
  <c r="E53" i="3"/>
  <c r="H53" i="3"/>
  <c r="C53" i="3" s="1"/>
  <c r="N664" i="3"/>
  <c r="H54" i="3" l="1" a="1"/>
  <c r="N665" i="3"/>
  <c r="F54" i="3" l="1"/>
  <c r="D54" i="3"/>
  <c r="E54" i="3"/>
  <c r="H54" i="3"/>
  <c r="C54" i="3" s="1"/>
  <c r="N666" i="3"/>
  <c r="H55" i="3" l="1" a="1"/>
  <c r="N667" i="3"/>
  <c r="D55" i="3" l="1"/>
  <c r="F55" i="3"/>
  <c r="E55" i="3"/>
  <c r="H55" i="3"/>
  <c r="C55" i="3" s="1"/>
  <c r="N668" i="3"/>
  <c r="H56" i="3" l="1" a="1"/>
  <c r="N669" i="3"/>
  <c r="N670" i="3" s="1"/>
  <c r="F56" i="3" l="1"/>
  <c r="E56" i="3"/>
  <c r="D56" i="3"/>
  <c r="H56" i="3"/>
  <c r="C56" i="3" s="1"/>
  <c r="N671" i="3"/>
  <c r="H57" i="3" l="1" a="1"/>
  <c r="N672" i="3"/>
  <c r="E57" i="3" l="1"/>
  <c r="H57" i="3"/>
  <c r="C57" i="3" s="1"/>
  <c r="D57" i="3"/>
  <c r="F57" i="3"/>
  <c r="N673" i="3"/>
  <c r="H58" i="3" l="1" a="1"/>
  <c r="N674" i="3"/>
  <c r="E58" i="3" l="1"/>
  <c r="F58" i="3"/>
  <c r="H58" i="3"/>
  <c r="C58" i="3" s="1"/>
  <c r="D58" i="3"/>
  <c r="N675" i="3"/>
  <c r="H59" i="3" l="1" a="1"/>
  <c r="N676" i="3"/>
  <c r="E59" i="3" l="1"/>
  <c r="H59" i="3"/>
  <c r="C59" i="3" s="1"/>
  <c r="D59" i="3"/>
  <c r="F59" i="3"/>
  <c r="N677" i="3"/>
  <c r="H60" i="3" l="1" a="1"/>
  <c r="N678" i="3"/>
  <c r="F60" i="3" l="1"/>
  <c r="E60" i="3"/>
  <c r="D60" i="3"/>
  <c r="H60" i="3"/>
  <c r="C60" i="3" s="1"/>
  <c r="N679" i="3"/>
  <c r="H61" i="3" l="1" a="1"/>
  <c r="N680" i="3"/>
  <c r="F61" i="3" l="1"/>
  <c r="E61" i="3"/>
  <c r="D61" i="3"/>
  <c r="H61" i="3"/>
  <c r="C61" i="3" s="1"/>
  <c r="N681" i="3"/>
  <c r="H62" i="3" l="1" a="1"/>
  <c r="N682" i="3"/>
  <c r="F62" i="3" l="1"/>
  <c r="E62" i="3"/>
  <c r="D62" i="3"/>
  <c r="H62" i="3"/>
  <c r="C62" i="3" s="1"/>
  <c r="N683" i="3"/>
  <c r="H63" i="3" l="1" a="1"/>
  <c r="N684" i="3"/>
  <c r="F63" i="3" l="1"/>
  <c r="E63" i="3"/>
  <c r="D63" i="3"/>
  <c r="H63" i="3"/>
  <c r="C63" i="3" s="1"/>
  <c r="N685" i="3"/>
  <c r="H64" i="3" l="1" a="1"/>
  <c r="N686" i="3"/>
  <c r="D64" i="3" l="1"/>
  <c r="F64" i="3"/>
  <c r="E64" i="3"/>
  <c r="H64" i="3"/>
  <c r="C64" i="3" s="1"/>
  <c r="N687" i="3"/>
  <c r="H65" i="3" l="1" a="1"/>
  <c r="N688" i="3"/>
  <c r="F65" i="3" l="1"/>
  <c r="D65" i="3"/>
  <c r="H65" i="3"/>
  <c r="C65" i="3" s="1"/>
  <c r="E65" i="3"/>
  <c r="N689" i="3"/>
  <c r="H66" i="3" l="1" a="1"/>
  <c r="N690" i="3"/>
  <c r="F66" i="3" l="1"/>
  <c r="E66" i="3"/>
  <c r="H66" i="3"/>
  <c r="C66" i="3" s="1"/>
  <c r="D66" i="3"/>
  <c r="N691" i="3"/>
  <c r="H67" i="3" l="1" a="1"/>
  <c r="N692" i="3"/>
  <c r="F67" i="3" l="1"/>
  <c r="D67" i="3"/>
  <c r="H67" i="3"/>
  <c r="C67" i="3" s="1"/>
  <c r="E67" i="3"/>
  <c r="N693" i="3"/>
  <c r="H68" i="3" l="1" a="1"/>
  <c r="N694" i="3"/>
  <c r="F68" i="3" l="1"/>
  <c r="D68" i="3"/>
  <c r="E68" i="3"/>
  <c r="H68" i="3"/>
  <c r="C68" i="3" s="1"/>
  <c r="N695" i="3"/>
  <c r="H69" i="3" l="1" a="1"/>
  <c r="N696" i="3"/>
  <c r="F69" i="3" l="1"/>
  <c r="H69" i="3"/>
  <c r="C69" i="3" s="1"/>
  <c r="D69" i="3"/>
  <c r="E69" i="3"/>
  <c r="N697" i="3"/>
  <c r="H70" i="3" l="1" a="1"/>
  <c r="N698" i="3"/>
  <c r="H70" i="3" l="1"/>
  <c r="C70" i="3" s="1"/>
  <c r="F70" i="3"/>
  <c r="D70" i="3"/>
  <c r="E70" i="3"/>
  <c r="N699" i="3"/>
  <c r="H71" i="3" l="1" a="1"/>
  <c r="N700" i="3"/>
  <c r="H71" i="3" l="1"/>
  <c r="C71" i="3" s="1"/>
  <c r="D71" i="3"/>
  <c r="E71" i="3"/>
  <c r="F71" i="3"/>
  <c r="N701" i="3"/>
  <c r="H72" i="3" l="1" a="1"/>
  <c r="N702" i="3"/>
  <c r="H72" i="3" l="1"/>
  <c r="C72" i="3" s="1"/>
  <c r="D72" i="3"/>
  <c r="F72" i="3"/>
  <c r="E72" i="3"/>
  <c r="N703" i="3"/>
  <c r="H73" i="3" l="1" a="1"/>
  <c r="N704" i="3"/>
  <c r="D73" i="3" l="1"/>
  <c r="F73" i="3"/>
  <c r="E73" i="3"/>
  <c r="H73" i="3"/>
  <c r="C73" i="3" s="1"/>
  <c r="N705" i="3"/>
  <c r="H74" i="3" l="1" a="1"/>
  <c r="N706" i="3"/>
  <c r="D74" i="3" l="1"/>
  <c r="F74" i="3"/>
  <c r="E74" i="3"/>
  <c r="H74" i="3"/>
  <c r="C74" i="3" s="1"/>
  <c r="N707" i="3"/>
  <c r="H75" i="3" l="1" a="1"/>
  <c r="N708" i="3"/>
  <c r="D75" i="3" l="1"/>
  <c r="F75" i="3"/>
  <c r="E75" i="3"/>
  <c r="H75" i="3"/>
  <c r="C75" i="3" s="1"/>
  <c r="N709" i="3"/>
  <c r="H76" i="3" l="1" a="1"/>
  <c r="N710" i="3"/>
  <c r="D76" i="3" l="1"/>
  <c r="F76" i="3"/>
  <c r="E76" i="3"/>
  <c r="H76" i="3"/>
  <c r="C76" i="3" s="1"/>
  <c r="N711" i="3"/>
  <c r="H77" i="3" l="1" a="1"/>
  <c r="N712" i="3"/>
  <c r="F77" i="3" l="1"/>
  <c r="D77" i="3"/>
  <c r="E77" i="3"/>
  <c r="H77" i="3"/>
  <c r="C77" i="3" s="1"/>
  <c r="N713" i="3"/>
  <c r="N714" i="3" s="1"/>
  <c r="H78" i="3" l="1" a="1"/>
  <c r="N715" i="3"/>
  <c r="F78" i="3" l="1"/>
  <c r="E78" i="3"/>
  <c r="D78" i="3"/>
  <c r="H78" i="3"/>
  <c r="C78" i="3" s="1"/>
  <c r="N716" i="3"/>
  <c r="H79" i="3" l="1" a="1"/>
  <c r="N717" i="3"/>
  <c r="F79" i="3" l="1"/>
  <c r="E79" i="3"/>
  <c r="H79" i="3"/>
  <c r="C79" i="3" s="1"/>
  <c r="D79" i="3"/>
  <c r="N718" i="3"/>
  <c r="H80" i="3" l="1" a="1"/>
  <c r="N719" i="3"/>
  <c r="F80" i="3" l="1"/>
  <c r="D80" i="3"/>
  <c r="H80" i="3"/>
  <c r="C80" i="3" s="1"/>
  <c r="E80" i="3"/>
  <c r="N720" i="3"/>
  <c r="H81" i="3" l="1" a="1"/>
  <c r="N721" i="3"/>
  <c r="F81" i="3" l="1"/>
  <c r="D81" i="3"/>
  <c r="H81" i="3"/>
  <c r="C81" i="3" s="1"/>
  <c r="E81" i="3"/>
  <c r="N722" i="3"/>
  <c r="H82" i="3" l="1" a="1"/>
  <c r="N723" i="3"/>
  <c r="F82" i="3" l="1"/>
  <c r="H82" i="3"/>
  <c r="C82" i="3" s="1"/>
  <c r="D82" i="3"/>
  <c r="E82" i="3"/>
  <c r="N724" i="3"/>
  <c r="H83" i="3" l="1" a="1"/>
  <c r="N725" i="3"/>
  <c r="D83" i="3" l="1"/>
  <c r="F83" i="3"/>
  <c r="H83" i="3"/>
  <c r="C83" i="3" s="1"/>
  <c r="E83" i="3"/>
  <c r="N726" i="3"/>
  <c r="H84" i="3" l="1" a="1"/>
  <c r="N727" i="3"/>
  <c r="F84" i="3" l="1"/>
  <c r="E84" i="3"/>
  <c r="D84" i="3"/>
  <c r="H84" i="3"/>
  <c r="C84" i="3" s="1"/>
  <c r="N728" i="3"/>
  <c r="H85" i="3" l="1" a="1"/>
  <c r="N729" i="3"/>
  <c r="F85" i="3" l="1"/>
  <c r="E85" i="3"/>
  <c r="H85" i="3"/>
  <c r="C85" i="3" s="1"/>
  <c r="D85" i="3"/>
  <c r="N730" i="3"/>
  <c r="H86" i="3" l="1" a="1"/>
  <c r="N731" i="3"/>
  <c r="F86" i="3" l="1"/>
  <c r="H86" i="3"/>
  <c r="C86" i="3" s="1"/>
  <c r="D86" i="3"/>
  <c r="E86" i="3"/>
  <c r="N732" i="3"/>
  <c r="H87" i="3" l="1" a="1"/>
  <c r="N733" i="3"/>
  <c r="D87" i="3" l="1"/>
  <c r="H87" i="3"/>
  <c r="C87" i="3" s="1"/>
  <c r="E87" i="3"/>
  <c r="F87" i="3"/>
  <c r="N734" i="3"/>
  <c r="H88" i="3" l="1" a="1"/>
  <c r="N735" i="3"/>
  <c r="F88" i="3" l="1"/>
  <c r="D88" i="3"/>
  <c r="E88" i="3"/>
  <c r="H88" i="3"/>
  <c r="C88" i="3" s="1"/>
  <c r="N736" i="3"/>
  <c r="H89" i="3" l="1" a="1"/>
  <c r="N737" i="3"/>
  <c r="F89" i="3" l="1"/>
  <c r="D89" i="3"/>
  <c r="E89" i="3"/>
  <c r="H89" i="3"/>
  <c r="C89" i="3" s="1"/>
  <c r="N738" i="3"/>
  <c r="H90" i="3" l="1" a="1"/>
  <c r="N739" i="3"/>
  <c r="F90" i="3" l="1"/>
  <c r="D90" i="3"/>
  <c r="H90" i="3"/>
  <c r="C90" i="3" s="1"/>
  <c r="E90" i="3"/>
  <c r="N740" i="3"/>
  <c r="H91" i="3" l="1" a="1"/>
  <c r="N741" i="3"/>
  <c r="F91" i="3" l="1"/>
  <c r="D91" i="3"/>
  <c r="H91" i="3"/>
  <c r="C91" i="3" s="1"/>
  <c r="E91" i="3"/>
  <c r="N742" i="3"/>
  <c r="H92" i="3" l="1" a="1"/>
  <c r="N743" i="3"/>
  <c r="F92" i="3" l="1"/>
  <c r="D92" i="3"/>
  <c r="E92" i="3"/>
  <c r="H92" i="3"/>
  <c r="C92" i="3" s="1"/>
  <c r="N744" i="3"/>
  <c r="H93" i="3" l="1" a="1"/>
  <c r="N745" i="3"/>
  <c r="F93" i="3" l="1"/>
  <c r="D93" i="3"/>
  <c r="H93" i="3"/>
  <c r="C93" i="3" s="1"/>
  <c r="E93" i="3"/>
  <c r="N746" i="3"/>
  <c r="H94" i="3" l="1" a="1"/>
  <c r="N747" i="3"/>
  <c r="F94" i="3" l="1"/>
  <c r="D94" i="3"/>
  <c r="E94" i="3"/>
  <c r="H94" i="3"/>
  <c r="C94" i="3" s="1"/>
  <c r="N748" i="3"/>
  <c r="H95" i="3" l="1" a="1"/>
  <c r="N749" i="3"/>
  <c r="E95" i="3" l="1"/>
  <c r="F95" i="3"/>
  <c r="D95" i="3"/>
  <c r="H95" i="3"/>
  <c r="C95" i="3" s="1"/>
  <c r="N750" i="3"/>
  <c r="H96" i="3" l="1" a="1"/>
  <c r="N751" i="3"/>
  <c r="E96" i="3" l="1"/>
  <c r="D96" i="3"/>
  <c r="H96" i="3"/>
  <c r="C96" i="3" s="1"/>
  <c r="F96" i="3"/>
  <c r="N752" i="3"/>
  <c r="H97" i="3" l="1" a="1"/>
  <c r="N753" i="3"/>
  <c r="E97" i="3" l="1"/>
  <c r="D97" i="3"/>
  <c r="F97" i="3"/>
  <c r="H97" i="3"/>
  <c r="C97" i="3" s="1"/>
  <c r="N754" i="3"/>
  <c r="H98" i="3" l="1" a="1"/>
  <c r="N755" i="3"/>
  <c r="E98" i="3" l="1"/>
  <c r="H98" i="3"/>
  <c r="C98" i="3" s="1"/>
  <c r="D98" i="3"/>
  <c r="F98" i="3"/>
  <c r="N756" i="3"/>
  <c r="H99" i="3" l="1" a="1"/>
  <c r="N757" i="3"/>
  <c r="N758" i="3" s="1"/>
  <c r="D99" i="3" l="1"/>
  <c r="F99" i="3"/>
  <c r="E99" i="3"/>
  <c r="H99" i="3"/>
  <c r="C99" i="3" s="1"/>
  <c r="N759" i="3"/>
  <c r="H100" i="3" l="1" a="1"/>
  <c r="N760" i="3"/>
  <c r="D100" i="3" l="1"/>
  <c r="F100" i="3"/>
  <c r="E100" i="3"/>
  <c r="H100" i="3"/>
  <c r="C100" i="3" s="1"/>
  <c r="N761" i="3"/>
  <c r="H101" i="3" l="1" a="1"/>
  <c r="N762" i="3"/>
  <c r="F101" i="3" l="1"/>
  <c r="E101" i="3"/>
  <c r="D101" i="3"/>
  <c r="H101" i="3"/>
  <c r="C101" i="3" s="1"/>
  <c r="N763" i="3"/>
  <c r="H102" i="3" l="1" a="1"/>
  <c r="N764" i="3"/>
  <c r="F102" i="3" l="1"/>
  <c r="E102" i="3"/>
  <c r="D102" i="3"/>
  <c r="H102" i="3"/>
  <c r="C102" i="3" s="1"/>
  <c r="N765" i="3"/>
  <c r="H103" i="3" l="1" a="1"/>
  <c r="N766" i="3"/>
  <c r="D103" i="3" l="1"/>
  <c r="F103" i="3"/>
  <c r="E103" i="3"/>
  <c r="H103" i="3"/>
  <c r="C103" i="3" s="1"/>
  <c r="N767" i="3"/>
  <c r="H104" i="3" l="1" a="1"/>
  <c r="N768" i="3"/>
  <c r="E104" i="3" l="1"/>
  <c r="F104" i="3"/>
  <c r="H104" i="3"/>
  <c r="C104" i="3" s="1"/>
  <c r="D104" i="3"/>
  <c r="N769" i="3"/>
  <c r="H105" i="3" l="1" a="1"/>
  <c r="N770" i="3"/>
  <c r="D105" i="3" l="1"/>
  <c r="F105" i="3"/>
  <c r="E105" i="3"/>
  <c r="H105" i="3"/>
  <c r="C105" i="3" s="1"/>
  <c r="N771" i="3"/>
  <c r="H106" i="3" l="1" a="1"/>
  <c r="N772" i="3"/>
  <c r="D106" i="3" l="1"/>
  <c r="E106" i="3"/>
  <c r="H106" i="3"/>
  <c r="C106" i="3" s="1"/>
  <c r="F106" i="3"/>
  <c r="N773" i="3"/>
  <c r="H107" i="3" l="1" a="1"/>
  <c r="N774" i="3"/>
  <c r="F107" i="3" l="1"/>
  <c r="D107" i="3"/>
  <c r="E107" i="3"/>
  <c r="H107" i="3"/>
  <c r="C107" i="3" s="1"/>
  <c r="N775" i="3"/>
  <c r="H108" i="3" l="1" a="1"/>
  <c r="N776" i="3"/>
  <c r="D108" i="3" l="1"/>
  <c r="F108" i="3"/>
  <c r="H108" i="3"/>
  <c r="C108" i="3" s="1"/>
  <c r="E108" i="3"/>
  <c r="N777" i="3"/>
  <c r="H109" i="3" l="1" a="1"/>
  <c r="N778" i="3"/>
  <c r="F109" i="3" l="1"/>
  <c r="D109" i="3"/>
  <c r="H109" i="3"/>
  <c r="C109" i="3" s="1"/>
  <c r="E109" i="3"/>
  <c r="N779" i="3"/>
  <c r="H110" i="3" l="1" a="1"/>
  <c r="N780" i="3"/>
  <c r="F110" i="3" l="1"/>
  <c r="D110" i="3"/>
  <c r="H110" i="3"/>
  <c r="C110" i="3" s="1"/>
  <c r="E110" i="3"/>
  <c r="N781" i="3"/>
  <c r="H111" i="3" l="1" a="1"/>
  <c r="N782" i="3"/>
  <c r="D111" i="3" l="1"/>
  <c r="F111" i="3"/>
  <c r="H111" i="3"/>
  <c r="C111" i="3" s="1"/>
  <c r="E111" i="3"/>
  <c r="N783" i="3"/>
  <c r="H112" i="3" l="1" a="1"/>
  <c r="N784" i="3"/>
  <c r="E112" i="3" l="1"/>
  <c r="H112" i="3"/>
  <c r="C112" i="3" s="1"/>
  <c r="D112" i="3"/>
  <c r="F112" i="3"/>
  <c r="N785" i="3"/>
  <c r="H113" i="3" l="1" a="1"/>
  <c r="N786" i="3"/>
  <c r="D113" i="3" l="1"/>
  <c r="F113" i="3"/>
  <c r="E113" i="3"/>
  <c r="H113" i="3"/>
  <c r="C113" i="3" s="1"/>
  <c r="N787" i="3"/>
  <c r="H114" i="3" l="1" a="1"/>
  <c r="N788" i="3"/>
  <c r="D114" i="3" l="1"/>
  <c r="F114" i="3"/>
  <c r="E114" i="3"/>
  <c r="H114" i="3"/>
  <c r="C114" i="3" s="1"/>
  <c r="N789" i="3"/>
  <c r="H115" i="3" l="1" a="1"/>
  <c r="N790" i="3"/>
  <c r="H115" i="3" l="1"/>
  <c r="C115" i="3" s="1"/>
  <c r="D115" i="3"/>
  <c r="E115" i="3"/>
  <c r="F115" i="3"/>
  <c r="N791" i="3"/>
  <c r="H116" i="3" l="1" a="1"/>
  <c r="N792" i="3"/>
  <c r="D116" i="3" l="1"/>
  <c r="F116" i="3"/>
  <c r="E116" i="3"/>
  <c r="H116" i="3"/>
  <c r="C116" i="3" s="1"/>
  <c r="N793" i="3"/>
  <c r="H117" i="3" l="1" a="1"/>
  <c r="N794" i="3"/>
  <c r="D117" i="3" l="1"/>
  <c r="F117" i="3"/>
  <c r="H117" i="3"/>
  <c r="C117" i="3" s="1"/>
  <c r="E117" i="3"/>
  <c r="N795" i="3"/>
  <c r="H118" i="3" l="1" a="1"/>
  <c r="N796" i="3"/>
  <c r="H118" i="3" l="1"/>
  <c r="C118" i="3" s="1"/>
  <c r="E118" i="3"/>
  <c r="D118" i="3"/>
  <c r="F118" i="3"/>
  <c r="N797" i="3"/>
  <c r="H119" i="3" l="1" a="1"/>
  <c r="N798" i="3"/>
  <c r="D119" i="3" l="1"/>
  <c r="F119" i="3"/>
  <c r="H119" i="3"/>
  <c r="C119" i="3" s="1"/>
  <c r="E119" i="3"/>
  <c r="N799" i="3"/>
  <c r="H120" i="3" l="1" a="1"/>
  <c r="N800" i="3"/>
  <c r="F120" i="3" l="1"/>
  <c r="D120" i="3"/>
  <c r="E120" i="3"/>
  <c r="H120" i="3"/>
  <c r="C120" i="3" s="1"/>
  <c r="N801" i="3"/>
  <c r="N802" i="3" s="1"/>
  <c r="H121" i="3" l="1" a="1"/>
  <c r="N803" i="3"/>
  <c r="H121" i="3" l="1"/>
  <c r="C121" i="3" s="1"/>
  <c r="D121" i="3"/>
  <c r="F121" i="3"/>
  <c r="E121" i="3"/>
  <c r="N804" i="3"/>
  <c r="H122" i="3" l="1" a="1"/>
  <c r="N805" i="3"/>
  <c r="D122" i="3" l="1"/>
  <c r="F122" i="3"/>
  <c r="H122" i="3"/>
  <c r="C122" i="3" s="1"/>
  <c r="E122" i="3"/>
  <c r="N806" i="3"/>
  <c r="H123" i="3" l="1" a="1"/>
  <c r="N807" i="3"/>
  <c r="F123" i="3" l="1"/>
  <c r="D123" i="3"/>
  <c r="H123" i="3"/>
  <c r="C123" i="3" s="1"/>
  <c r="E123" i="3"/>
  <c r="N808" i="3"/>
  <c r="H124" i="3" l="1" a="1"/>
  <c r="N809" i="3"/>
  <c r="F124" i="3" l="1"/>
  <c r="E124" i="3"/>
  <c r="D124" i="3"/>
  <c r="H124" i="3"/>
  <c r="C124" i="3" s="1"/>
  <c r="N810" i="3"/>
  <c r="H125" i="3" l="1" a="1"/>
  <c r="N811" i="3"/>
  <c r="D125" i="3" l="1"/>
  <c r="F125" i="3"/>
  <c r="E125" i="3"/>
  <c r="H125" i="3"/>
  <c r="C125" i="3" s="1"/>
  <c r="N812" i="3"/>
  <c r="H126" i="3" l="1" a="1"/>
  <c r="N813" i="3"/>
  <c r="F126" i="3" l="1"/>
  <c r="D126" i="3"/>
  <c r="E126" i="3"/>
  <c r="H126" i="3"/>
  <c r="C126" i="3" s="1"/>
  <c r="N814" i="3"/>
  <c r="H127" i="3" l="1" a="1"/>
  <c r="N815" i="3"/>
  <c r="F127" i="3" l="1"/>
  <c r="D127" i="3"/>
  <c r="E127" i="3"/>
  <c r="H127" i="3"/>
  <c r="C127" i="3" s="1"/>
  <c r="N816" i="3"/>
  <c r="H128" i="3" l="1" a="1"/>
  <c r="N817" i="3"/>
  <c r="F128" i="3" l="1"/>
  <c r="D128" i="3"/>
  <c r="H128" i="3"/>
  <c r="C128" i="3" s="1"/>
  <c r="E128" i="3"/>
  <c r="N818" i="3"/>
  <c r="H129" i="3" l="1" a="1"/>
  <c r="N819" i="3"/>
  <c r="F129" i="3" l="1"/>
  <c r="D129" i="3"/>
  <c r="E129" i="3"/>
  <c r="H129" i="3"/>
  <c r="C129" i="3" s="1"/>
  <c r="N820" i="3"/>
  <c r="H130" i="3" l="1" a="1"/>
  <c r="N821" i="3"/>
  <c r="F130" i="3" l="1"/>
  <c r="H130" i="3"/>
  <c r="C130" i="3" s="1"/>
  <c r="D130" i="3"/>
  <c r="E130" i="3"/>
  <c r="N822" i="3"/>
  <c r="H131" i="3" l="1" a="1"/>
  <c r="N823" i="3"/>
  <c r="F131" i="3" l="1"/>
  <c r="D131" i="3"/>
  <c r="H131" i="3"/>
  <c r="C131" i="3" s="1"/>
  <c r="E131" i="3"/>
  <c r="N824" i="3"/>
  <c r="H132" i="3" l="1" a="1"/>
  <c r="N825" i="3"/>
  <c r="F132" i="3" l="1"/>
  <c r="H132" i="3"/>
  <c r="C132" i="3" s="1"/>
  <c r="E132" i="3"/>
  <c r="D132" i="3"/>
  <c r="N826" i="3"/>
  <c r="H133" i="3" l="1" a="1"/>
  <c r="N827" i="3"/>
  <c r="H133" i="3" l="1"/>
  <c r="C133" i="3" s="1"/>
  <c r="F133" i="3"/>
  <c r="D133" i="3"/>
  <c r="E133" i="3"/>
  <c r="N828" i="3"/>
  <c r="H134" i="3" l="1" a="1"/>
  <c r="N829" i="3"/>
  <c r="F134" i="3" l="1"/>
  <c r="D134" i="3"/>
  <c r="E134" i="3"/>
  <c r="H134" i="3"/>
  <c r="C134" i="3" s="1"/>
  <c r="N830" i="3"/>
  <c r="H135" i="3" l="1" a="1"/>
  <c r="N831" i="3"/>
  <c r="F135" i="3" l="1"/>
  <c r="D135" i="3"/>
  <c r="E135" i="3"/>
  <c r="H135" i="3"/>
  <c r="C135" i="3" s="1"/>
  <c r="N832" i="3"/>
  <c r="H136" i="3" l="1" a="1"/>
  <c r="N833" i="3"/>
  <c r="F136" i="3" l="1"/>
  <c r="H136" i="3"/>
  <c r="C136" i="3" s="1"/>
  <c r="E136" i="3"/>
  <c r="D136" i="3"/>
  <c r="N834" i="3"/>
  <c r="H137" i="3" l="1" a="1"/>
  <c r="N835" i="3"/>
  <c r="E137" i="3" l="1"/>
  <c r="H137" i="3"/>
  <c r="C137" i="3" s="1"/>
  <c r="D137" i="3"/>
  <c r="F137" i="3"/>
  <c r="N836" i="3"/>
  <c r="H138" i="3" l="1" a="1"/>
  <c r="N837" i="3"/>
  <c r="F138" i="3" l="1"/>
  <c r="H138" i="3"/>
  <c r="C138" i="3" s="1"/>
  <c r="E138" i="3"/>
  <c r="D138" i="3"/>
  <c r="N838" i="3"/>
  <c r="H139" i="3" l="1" a="1"/>
  <c r="N839" i="3"/>
  <c r="D139" i="3" l="1"/>
  <c r="F139" i="3"/>
  <c r="E139" i="3"/>
  <c r="H139" i="3"/>
  <c r="C139" i="3" s="1"/>
  <c r="N840" i="3"/>
  <c r="H140" i="3" l="1" a="1"/>
  <c r="N841" i="3"/>
  <c r="F140" i="3" l="1"/>
  <c r="D140" i="3"/>
  <c r="H140" i="3"/>
  <c r="C140" i="3" s="1"/>
  <c r="E140" i="3"/>
  <c r="N842" i="3"/>
  <c r="H141" i="3" l="1" a="1"/>
  <c r="N843" i="3"/>
  <c r="F141" i="3" l="1"/>
  <c r="D141" i="3"/>
  <c r="E141" i="3"/>
  <c r="H141" i="3"/>
  <c r="C141" i="3" s="1"/>
  <c r="N844" i="3"/>
  <c r="H142" i="3" l="1" a="1"/>
  <c r="N845" i="3"/>
  <c r="N846" i="3" s="1"/>
  <c r="F142" i="3" l="1"/>
  <c r="E142" i="3"/>
  <c r="D142" i="3"/>
  <c r="H142" i="3"/>
  <c r="C142" i="3" s="1"/>
  <c r="N847" i="3"/>
  <c r="H143" i="3" l="1" a="1"/>
  <c r="N848" i="3"/>
  <c r="F143" i="3" l="1"/>
  <c r="D143" i="3"/>
  <c r="E143" i="3"/>
  <c r="H143" i="3"/>
  <c r="C143" i="3" s="1"/>
  <c r="N849" i="3"/>
  <c r="H144" i="3" l="1" a="1"/>
  <c r="N850" i="3"/>
  <c r="F144" i="3" l="1"/>
  <c r="D144" i="3"/>
  <c r="E144" i="3"/>
  <c r="H144" i="3"/>
  <c r="C144" i="3" s="1"/>
  <c r="N851" i="3"/>
  <c r="H145" i="3" l="1" a="1"/>
  <c r="N852" i="3"/>
  <c r="F145" i="3" l="1"/>
  <c r="H145" i="3"/>
  <c r="C145" i="3" s="1"/>
  <c r="E145" i="3"/>
  <c r="D145" i="3"/>
  <c r="N853" i="3"/>
  <c r="H146" i="3" l="1" a="1"/>
  <c r="N854" i="3"/>
  <c r="E146" i="3" l="1"/>
  <c r="F146" i="3"/>
  <c r="H146" i="3"/>
  <c r="C146" i="3" s="1"/>
  <c r="D146" i="3"/>
  <c r="N855" i="3"/>
  <c r="H147" i="3" l="1" a="1"/>
  <c r="N856" i="3"/>
  <c r="D147" i="3" l="1"/>
  <c r="F147" i="3"/>
  <c r="E147" i="3"/>
  <c r="H147" i="3"/>
  <c r="C147" i="3" s="1"/>
  <c r="N857" i="3"/>
  <c r="H148" i="3" l="1" a="1"/>
  <c r="N858" i="3"/>
  <c r="D148" i="3" l="1"/>
  <c r="F148" i="3"/>
  <c r="H148" i="3"/>
  <c r="C148" i="3" s="1"/>
  <c r="E148" i="3"/>
  <c r="N859" i="3"/>
  <c r="H149" i="3" l="1" a="1"/>
  <c r="N860" i="3"/>
  <c r="F149" i="3" l="1"/>
  <c r="D149" i="3"/>
  <c r="E149" i="3"/>
  <c r="H149" i="3"/>
  <c r="C149" i="3" s="1"/>
  <c r="N861" i="3"/>
  <c r="H150" i="3" l="1" a="1"/>
  <c r="N862" i="3"/>
  <c r="F150" i="3" l="1"/>
  <c r="D150" i="3"/>
  <c r="E150" i="3"/>
  <c r="H150" i="3"/>
  <c r="C150" i="3" s="1"/>
  <c r="N863" i="3"/>
  <c r="H151" i="3" l="1" a="1"/>
  <c r="N864" i="3"/>
  <c r="D151" i="3" l="1"/>
  <c r="H151" i="3"/>
  <c r="C151" i="3" s="1"/>
  <c r="F151" i="3"/>
  <c r="E151" i="3"/>
  <c r="N865" i="3"/>
  <c r="H152" i="3" l="1" a="1"/>
  <c r="N866" i="3"/>
  <c r="F152" i="3" l="1"/>
  <c r="D152" i="3"/>
  <c r="H152" i="3"/>
  <c r="C152" i="3" s="1"/>
  <c r="E152" i="3"/>
  <c r="N867" i="3"/>
  <c r="H153" i="3" l="1" a="1"/>
  <c r="N868" i="3"/>
  <c r="D153" i="3" l="1"/>
  <c r="E153" i="3"/>
  <c r="H153" i="3"/>
  <c r="C153" i="3" s="1"/>
  <c r="F153" i="3"/>
  <c r="N869" i="3"/>
  <c r="H154" i="3" l="1" a="1"/>
  <c r="N870" i="3"/>
  <c r="F154" i="3" l="1"/>
  <c r="D154" i="3"/>
  <c r="E154" i="3"/>
  <c r="H154" i="3"/>
  <c r="C154" i="3" s="1"/>
  <c r="N871" i="3"/>
  <c r="H155" i="3" l="1" a="1"/>
  <c r="N872" i="3"/>
  <c r="F155" i="3" l="1"/>
  <c r="D155" i="3"/>
  <c r="E155" i="3"/>
  <c r="H155" i="3"/>
  <c r="C155" i="3" s="1"/>
  <c r="N873" i="3"/>
  <c r="H156" i="3" l="1" a="1"/>
  <c r="N874" i="3"/>
  <c r="F156" i="3" l="1"/>
  <c r="E156" i="3"/>
  <c r="D156" i="3"/>
  <c r="H156" i="3"/>
  <c r="C156" i="3" s="1"/>
  <c r="N875" i="3"/>
  <c r="H157" i="3" l="1" a="1"/>
  <c r="N876" i="3"/>
  <c r="F157" i="3" l="1"/>
  <c r="D157" i="3"/>
  <c r="E157" i="3"/>
  <c r="H157" i="3"/>
  <c r="C157" i="3" s="1"/>
  <c r="N877" i="3"/>
  <c r="H158" i="3" l="1" a="1"/>
  <c r="N878" i="3"/>
  <c r="F158" i="3" l="1"/>
  <c r="E158" i="3"/>
  <c r="D158" i="3"/>
  <c r="H158" i="3"/>
  <c r="C158" i="3" s="1"/>
  <c r="N879" i="3"/>
  <c r="H159" i="3" l="1" a="1"/>
  <c r="N880" i="3"/>
  <c r="F159" i="3" l="1"/>
  <c r="D159" i="3"/>
  <c r="E159" i="3"/>
  <c r="H159" i="3"/>
  <c r="C159" i="3" s="1"/>
  <c r="N881" i="3"/>
  <c r="H160" i="3" l="1" a="1"/>
  <c r="N882" i="3"/>
  <c r="F160" i="3" l="1"/>
  <c r="D160" i="3"/>
  <c r="E160" i="3"/>
  <c r="H160" i="3"/>
  <c r="C160" i="3" s="1"/>
  <c r="N883" i="3"/>
  <c r="H161" i="3" l="1" a="1"/>
  <c r="N884" i="3"/>
  <c r="F161" i="3" l="1"/>
  <c r="E161" i="3"/>
  <c r="D161" i="3"/>
  <c r="H161" i="3"/>
  <c r="C161" i="3" s="1"/>
  <c r="N885" i="3"/>
  <c r="H162" i="3" l="1" a="1"/>
  <c r="N886" i="3"/>
  <c r="F162" i="3" l="1"/>
  <c r="D162" i="3"/>
  <c r="E162" i="3"/>
  <c r="H162" i="3"/>
  <c r="C162" i="3" s="1"/>
  <c r="N887" i="3"/>
  <c r="H163" i="3" l="1" a="1"/>
  <c r="N888" i="3"/>
  <c r="F163" i="3" l="1"/>
  <c r="D163" i="3"/>
  <c r="E163" i="3"/>
  <c r="H163" i="3"/>
  <c r="C163" i="3" s="1"/>
  <c r="N889" i="3"/>
  <c r="N890" i="3" s="1"/>
  <c r="H164" i="3" l="1" a="1"/>
  <c r="N891" i="3"/>
  <c r="D164" i="3" l="1"/>
  <c r="F164" i="3"/>
  <c r="E164" i="3"/>
  <c r="H164" i="3"/>
  <c r="C164" i="3" s="1"/>
  <c r="N892" i="3"/>
  <c r="H165" i="3" l="1" a="1"/>
  <c r="N893" i="3"/>
  <c r="F165" i="3" l="1"/>
  <c r="D165" i="3"/>
  <c r="E165" i="3"/>
  <c r="H165" i="3"/>
  <c r="C165" i="3" s="1"/>
  <c r="N894" i="3"/>
  <c r="H166" i="3" l="1" a="1"/>
  <c r="N895" i="3"/>
  <c r="D166" i="3" l="1"/>
  <c r="F166" i="3"/>
  <c r="E166" i="3"/>
  <c r="H166" i="3"/>
  <c r="C166" i="3" s="1"/>
  <c r="N896" i="3"/>
  <c r="H167" i="3" l="1" a="1"/>
  <c r="N897" i="3"/>
  <c r="F167" i="3" l="1"/>
  <c r="D167" i="3"/>
  <c r="E167" i="3"/>
  <c r="H167" i="3"/>
  <c r="C167" i="3" s="1"/>
  <c r="N898" i="3"/>
  <c r="H168" i="3" l="1" a="1"/>
  <c r="N899" i="3"/>
  <c r="D168" i="3" l="1"/>
  <c r="H168" i="3"/>
  <c r="C168" i="3" s="1"/>
  <c r="E168" i="3"/>
  <c r="F168" i="3"/>
  <c r="N900" i="3"/>
  <c r="H169" i="3" l="1" a="1"/>
  <c r="N901" i="3"/>
  <c r="F169" i="3" l="1"/>
  <c r="E169" i="3"/>
  <c r="H169" i="3"/>
  <c r="C169" i="3" s="1"/>
  <c r="D169" i="3"/>
  <c r="N902" i="3"/>
  <c r="H170" i="3" l="1" a="1"/>
  <c r="N903" i="3"/>
  <c r="F170" i="3" l="1"/>
  <c r="E170" i="3"/>
  <c r="D170" i="3"/>
  <c r="H170" i="3"/>
  <c r="C170" i="3" s="1"/>
  <c r="N904" i="3"/>
  <c r="H171" i="3" l="1" a="1"/>
  <c r="N905" i="3"/>
  <c r="F171" i="3" l="1"/>
  <c r="D171" i="3"/>
  <c r="E171" i="3"/>
  <c r="H171" i="3"/>
  <c r="C171" i="3" s="1"/>
  <c r="N906" i="3"/>
  <c r="H172" i="3" l="1" a="1"/>
  <c r="N907" i="3"/>
  <c r="H172" i="3" l="1"/>
  <c r="C172" i="3" s="1"/>
  <c r="D172" i="3"/>
  <c r="F172" i="3"/>
  <c r="E172" i="3"/>
  <c r="N908" i="3"/>
  <c r="H173" i="3" l="1" a="1"/>
  <c r="N909" i="3"/>
  <c r="F173" i="3" l="1"/>
  <c r="H173" i="3"/>
  <c r="C173" i="3" s="1"/>
  <c r="E173" i="3"/>
  <c r="D173" i="3"/>
  <c r="N910" i="3"/>
  <c r="H174" i="3" l="1" a="1"/>
  <c r="N911" i="3"/>
  <c r="F174" i="3" l="1"/>
  <c r="D174" i="3"/>
  <c r="E174" i="3"/>
  <c r="H174" i="3"/>
  <c r="C174" i="3" s="1"/>
  <c r="N912" i="3"/>
  <c r="H175" i="3" l="1" a="1"/>
  <c r="N913" i="3"/>
  <c r="D175" i="3" l="1"/>
  <c r="F175" i="3"/>
  <c r="H175" i="3"/>
  <c r="C175" i="3" s="1"/>
  <c r="E175" i="3"/>
  <c r="N914" i="3"/>
  <c r="H176" i="3" l="1" a="1"/>
  <c r="N915" i="3"/>
  <c r="E176" i="3" l="1"/>
  <c r="H176" i="3"/>
  <c r="C176" i="3" s="1"/>
  <c r="D176" i="3"/>
  <c r="F176" i="3"/>
  <c r="N916" i="3"/>
  <c r="H177" i="3" l="1" a="1"/>
  <c r="N917" i="3"/>
  <c r="F177" i="3" l="1"/>
  <c r="D177" i="3"/>
  <c r="H177" i="3"/>
  <c r="C177" i="3" s="1"/>
  <c r="E177" i="3"/>
  <c r="N918" i="3"/>
  <c r="H178" i="3" l="1" a="1"/>
  <c r="N919" i="3"/>
  <c r="F178" i="3" l="1"/>
  <c r="D178" i="3"/>
  <c r="H178" i="3"/>
  <c r="C178" i="3" s="1"/>
  <c r="E178" i="3"/>
  <c r="N920" i="3"/>
  <c r="H179" i="3" l="1" a="1"/>
  <c r="N921" i="3"/>
  <c r="F179" i="3" l="1"/>
  <c r="D179" i="3"/>
  <c r="E179" i="3"/>
  <c r="H179" i="3"/>
  <c r="C179" i="3" s="1"/>
  <c r="N922" i="3"/>
  <c r="H180" i="3" l="1" a="1"/>
  <c r="N923" i="3"/>
  <c r="F180" i="3" l="1"/>
  <c r="D180" i="3"/>
  <c r="E180" i="3"/>
  <c r="H180" i="3"/>
  <c r="C180" i="3" s="1"/>
  <c r="N924" i="3"/>
  <c r="H181" i="3" l="1" a="1"/>
  <c r="N925" i="3"/>
  <c r="F181" i="3" l="1"/>
  <c r="D181" i="3"/>
  <c r="H181" i="3"/>
  <c r="C181" i="3" s="1"/>
  <c r="E181" i="3"/>
  <c r="N926" i="3"/>
  <c r="H182" i="3" l="1" a="1"/>
  <c r="N927" i="3"/>
  <c r="F182" i="3" l="1"/>
  <c r="D182" i="3"/>
  <c r="E182" i="3"/>
  <c r="H182" i="3"/>
  <c r="C182" i="3" s="1"/>
  <c r="N928" i="3"/>
  <c r="H183" i="3" l="1" a="1"/>
  <c r="N929" i="3"/>
  <c r="D183" i="3" l="1"/>
  <c r="F183" i="3"/>
  <c r="H183" i="3"/>
  <c r="C183" i="3" s="1"/>
  <c r="E183" i="3"/>
  <c r="N930" i="3"/>
  <c r="H184" i="3" l="1" a="1"/>
  <c r="N931" i="3"/>
  <c r="E184" i="3" l="1"/>
  <c r="D184" i="3"/>
  <c r="F184" i="3"/>
  <c r="H184" i="3"/>
  <c r="C184" i="3" s="1"/>
  <c r="N932" i="3"/>
  <c r="H185" i="3" l="1" a="1"/>
  <c r="N933" i="3"/>
  <c r="N934" i="3" s="1"/>
  <c r="F185" i="3" l="1"/>
  <c r="D185" i="3"/>
  <c r="E185" i="3"/>
  <c r="H185" i="3"/>
  <c r="C185" i="3" s="1"/>
  <c r="N935" i="3"/>
  <c r="H186" i="3" l="1" a="1"/>
  <c r="N936" i="3"/>
  <c r="D186" i="3" l="1"/>
  <c r="F186" i="3"/>
  <c r="H186" i="3"/>
  <c r="C186" i="3" s="1"/>
  <c r="E186" i="3"/>
  <c r="N937" i="3"/>
  <c r="H187" i="3" l="1" a="1"/>
  <c r="N938" i="3"/>
  <c r="E187" i="3" l="1"/>
  <c r="F187" i="3"/>
  <c r="H187" i="3"/>
  <c r="C187" i="3" s="1"/>
  <c r="D187" i="3"/>
  <c r="N939" i="3"/>
  <c r="H188" i="3" l="1" a="1"/>
  <c r="N940" i="3"/>
  <c r="D188" i="3" l="1"/>
  <c r="F188" i="3"/>
  <c r="E188" i="3"/>
  <c r="H188" i="3"/>
  <c r="C188" i="3" s="1"/>
  <c r="N941" i="3"/>
  <c r="H189" i="3" l="1" a="1"/>
  <c r="N942" i="3"/>
  <c r="D189" i="3" l="1"/>
  <c r="E189" i="3"/>
  <c r="F189" i="3"/>
  <c r="H189" i="3"/>
  <c r="C189" i="3" s="1"/>
  <c r="N943" i="3"/>
  <c r="H190" i="3" l="1" a="1"/>
  <c r="N944" i="3"/>
  <c r="D190" i="3" l="1"/>
  <c r="F190" i="3"/>
  <c r="H190" i="3"/>
  <c r="C190" i="3" s="1"/>
  <c r="E190" i="3"/>
  <c r="N945" i="3"/>
  <c r="H191" i="3" l="1" a="1"/>
  <c r="N946" i="3"/>
  <c r="D191" i="3" l="1"/>
  <c r="E191" i="3"/>
  <c r="H191" i="3"/>
  <c r="C191" i="3" s="1"/>
  <c r="F191" i="3"/>
  <c r="N947" i="3"/>
  <c r="H192" i="3" l="1" a="1"/>
  <c r="N948" i="3"/>
  <c r="D192" i="3" l="1"/>
  <c r="F192" i="3"/>
  <c r="H192" i="3"/>
  <c r="C192" i="3" s="1"/>
  <c r="E192" i="3"/>
  <c r="N949" i="3"/>
  <c r="H193" i="3" l="1" a="1"/>
  <c r="N950" i="3"/>
  <c r="E193" i="3" l="1"/>
  <c r="D193" i="3"/>
  <c r="F193" i="3"/>
  <c r="H193" i="3"/>
  <c r="C193" i="3" s="1"/>
  <c r="N951" i="3"/>
  <c r="H194" i="3" l="1" a="1"/>
  <c r="N952" i="3"/>
  <c r="D194" i="3" l="1"/>
  <c r="E194" i="3"/>
  <c r="H194" i="3"/>
  <c r="C194" i="3" s="1"/>
  <c r="F194" i="3"/>
  <c r="N953" i="3"/>
  <c r="H195" i="3" l="1" a="1"/>
  <c r="N954" i="3"/>
  <c r="D195" i="3" l="1"/>
  <c r="H195" i="3"/>
  <c r="C195" i="3" s="1"/>
  <c r="E195" i="3"/>
  <c r="F195" i="3"/>
  <c r="N955" i="3"/>
  <c r="H196" i="3" l="1" a="1"/>
  <c r="N956" i="3"/>
  <c r="F196" i="3" l="1"/>
  <c r="H196" i="3"/>
  <c r="C196" i="3" s="1"/>
  <c r="D196" i="3"/>
  <c r="E196" i="3"/>
  <c r="N957" i="3"/>
  <c r="H197" i="3" l="1" a="1"/>
  <c r="N958" i="3"/>
  <c r="D197" i="3" l="1"/>
  <c r="H197" i="3"/>
  <c r="C197" i="3" s="1"/>
  <c r="F197" i="3"/>
  <c r="E197" i="3"/>
  <c r="N959" i="3"/>
  <c r="H198" i="3" l="1" a="1"/>
  <c r="N960" i="3"/>
  <c r="D198" i="3" l="1"/>
  <c r="F198" i="3"/>
  <c r="H198" i="3"/>
  <c r="C198" i="3" s="1"/>
  <c r="E198" i="3"/>
  <c r="N961" i="3"/>
  <c r="H199" i="3" l="1" a="1"/>
  <c r="N962" i="3"/>
  <c r="D199" i="3" l="1"/>
  <c r="F199" i="3"/>
  <c r="E199" i="3"/>
  <c r="H199" i="3"/>
  <c r="C199" i="3" s="1"/>
  <c r="N963" i="3"/>
  <c r="H200" i="3" l="1" a="1"/>
  <c r="N964" i="3"/>
  <c r="D200" i="3" l="1"/>
  <c r="F200" i="3"/>
  <c r="E200" i="3"/>
  <c r="H200" i="3"/>
  <c r="C200" i="3" s="1"/>
  <c r="N965" i="3"/>
  <c r="H201" i="3" l="1" a="1"/>
  <c r="N966" i="3"/>
  <c r="F201" i="3" l="1"/>
  <c r="D201" i="3"/>
  <c r="H201" i="3"/>
  <c r="C201" i="3" s="1"/>
  <c r="E201" i="3"/>
  <c r="N967" i="3"/>
  <c r="H202" i="3" l="1" a="1"/>
  <c r="N968" i="3"/>
  <c r="F202" i="3" l="1"/>
  <c r="D202" i="3"/>
  <c r="E202" i="3"/>
  <c r="H202" i="3"/>
  <c r="C202" i="3" s="1"/>
  <c r="N969" i="3"/>
  <c r="H203" i="3" l="1" a="1"/>
  <c r="N970" i="3"/>
  <c r="D203" i="3" l="1"/>
  <c r="F203" i="3"/>
  <c r="E203" i="3"/>
  <c r="H203" i="3"/>
  <c r="C203" i="3" s="1"/>
  <c r="N971" i="3"/>
  <c r="H204" i="3" l="1" a="1"/>
  <c r="N972" i="3"/>
  <c r="F204" i="3" l="1"/>
  <c r="D204" i="3"/>
  <c r="E204" i="3"/>
  <c r="H204" i="3"/>
  <c r="C204" i="3" s="1"/>
  <c r="N973" i="3"/>
  <c r="H205" i="3" l="1" a="1"/>
  <c r="N974" i="3"/>
  <c r="D205" i="3" l="1"/>
  <c r="F205" i="3"/>
  <c r="E205" i="3"/>
  <c r="H205" i="3"/>
  <c r="C205" i="3" s="1"/>
  <c r="N975" i="3"/>
  <c r="H206" i="3" l="1" a="1"/>
  <c r="N976" i="3"/>
  <c r="F206" i="3" l="1"/>
  <c r="D206" i="3"/>
  <c r="E206" i="3"/>
  <c r="H206" i="3"/>
  <c r="C206" i="3" s="1"/>
  <c r="N977" i="3"/>
  <c r="N978" i="3" s="1"/>
  <c r="H207" i="3" l="1" a="1"/>
  <c r="N979" i="3"/>
  <c r="D207" i="3" l="1"/>
  <c r="F207" i="3"/>
  <c r="E207" i="3"/>
  <c r="H207" i="3"/>
  <c r="C207" i="3" s="1"/>
  <c r="N980" i="3"/>
  <c r="H208" i="3" l="1" a="1"/>
  <c r="N981" i="3"/>
  <c r="F208" i="3" l="1"/>
  <c r="D208" i="3"/>
  <c r="E208" i="3"/>
  <c r="H208" i="3"/>
  <c r="C208" i="3" s="1"/>
  <c r="N982" i="3"/>
  <c r="H209" i="3" l="1" a="1"/>
  <c r="N983" i="3"/>
  <c r="D209" i="3" l="1"/>
  <c r="F209" i="3"/>
  <c r="E209" i="3"/>
  <c r="H209" i="3"/>
  <c r="C209" i="3" s="1"/>
  <c r="N984" i="3"/>
  <c r="H210" i="3" l="1" a="1"/>
  <c r="N985" i="3"/>
  <c r="D210" i="3" l="1"/>
  <c r="F210" i="3"/>
  <c r="E210" i="3"/>
  <c r="H210" i="3"/>
  <c r="C210" i="3" s="1"/>
  <c r="N986" i="3"/>
  <c r="H211" i="3" l="1" a="1"/>
  <c r="N987" i="3"/>
  <c r="D211" i="3" l="1"/>
  <c r="F211" i="3"/>
  <c r="E211" i="3"/>
  <c r="H211" i="3"/>
  <c r="C211" i="3" s="1"/>
  <c r="N988" i="3"/>
  <c r="H212" i="3" l="1" a="1"/>
  <c r="N989" i="3"/>
  <c r="D212" i="3" l="1"/>
  <c r="F212" i="3"/>
  <c r="E212" i="3"/>
  <c r="H212" i="3"/>
  <c r="C212" i="3" s="1"/>
  <c r="N990" i="3"/>
  <c r="H213" i="3" l="1" a="1"/>
  <c r="N991" i="3"/>
  <c r="F213" i="3" l="1"/>
  <c r="E213" i="3"/>
  <c r="D213" i="3"/>
  <c r="H213" i="3"/>
  <c r="C213" i="3" s="1"/>
  <c r="N992" i="3"/>
  <c r="H214" i="3" l="1" a="1"/>
  <c r="N993" i="3"/>
  <c r="D214" i="3" l="1"/>
  <c r="F214" i="3"/>
  <c r="E214" i="3"/>
  <c r="H214" i="3"/>
  <c r="C214" i="3" s="1"/>
  <c r="N994" i="3"/>
  <c r="H215" i="3" l="1" a="1"/>
  <c r="N995" i="3"/>
  <c r="D215" i="3" l="1"/>
  <c r="F215" i="3"/>
  <c r="H215" i="3"/>
  <c r="C215" i="3" s="1"/>
  <c r="E215" i="3"/>
  <c r="N996" i="3"/>
  <c r="H216" i="3" l="1" a="1"/>
  <c r="N997" i="3"/>
  <c r="D216" i="3" l="1"/>
  <c r="E216" i="3"/>
  <c r="F216" i="3"/>
  <c r="H216" i="3"/>
  <c r="C216" i="3" s="1"/>
  <c r="N998" i="3"/>
  <c r="H217" i="3" l="1" a="1"/>
  <c r="N999" i="3"/>
  <c r="N1000" i="3" s="1"/>
  <c r="N1001" i="3" s="1"/>
  <c r="N1002" i="3" s="1"/>
  <c r="D217" i="3" l="1"/>
  <c r="F217" i="3"/>
  <c r="E217" i="3"/>
  <c r="H217" i="3"/>
  <c r="C217" i="3" s="1"/>
  <c r="H218" i="3" l="1" a="1"/>
  <c r="D218" i="3" l="1"/>
  <c r="E218" i="3"/>
  <c r="H218" i="3"/>
  <c r="C218" i="3" s="1"/>
  <c r="F218" i="3"/>
  <c r="H219" i="3" l="1" a="1"/>
  <c r="F219" i="3" l="1"/>
  <c r="H219" i="3"/>
  <c r="C219" i="3" s="1"/>
  <c r="D219" i="3"/>
  <c r="E219" i="3"/>
  <c r="H220" i="3" l="1" a="1"/>
  <c r="F220" i="3" l="1"/>
  <c r="D220" i="3"/>
  <c r="E220" i="3"/>
  <c r="H220" i="3"/>
  <c r="C220" i="3" s="1"/>
  <c r="H221" i="3" l="1" a="1"/>
  <c r="D221" i="3" l="1"/>
  <c r="F221" i="3"/>
  <c r="E221" i="3"/>
  <c r="H221" i="3"/>
  <c r="C221" i="3" s="1"/>
  <c r="H222" i="3" l="1" a="1"/>
  <c r="F222" i="3" l="1"/>
  <c r="E222" i="3"/>
  <c r="D222" i="3"/>
  <c r="H222" i="3"/>
  <c r="C222" i="3" s="1"/>
  <c r="H223" i="3" l="1" a="1"/>
  <c r="D223" i="3" l="1"/>
  <c r="F223" i="3"/>
  <c r="E223" i="3"/>
  <c r="H223" i="3"/>
  <c r="C223" i="3" s="1"/>
  <c r="H224" i="3" l="1" a="1"/>
  <c r="H224" i="3" l="1"/>
  <c r="C224" i="3" s="1"/>
  <c r="D224" i="3"/>
  <c r="F224" i="3"/>
  <c r="E224" i="3"/>
  <c r="H225" i="3" l="1" a="1"/>
  <c r="F225" i="3" l="1"/>
  <c r="H225" i="3"/>
  <c r="C225" i="3" s="1"/>
  <c r="D225" i="3"/>
  <c r="E225" i="3"/>
  <c r="H226" i="3" l="1" a="1"/>
  <c r="H226" i="3" l="1"/>
  <c r="C226" i="3" s="1"/>
  <c r="F226" i="3"/>
  <c r="D226" i="3"/>
  <c r="E226" i="3"/>
  <c r="H227" i="3" l="1" a="1"/>
  <c r="E227" i="3" l="1"/>
  <c r="D227" i="3"/>
  <c r="H227" i="3"/>
  <c r="C227" i="3" s="1"/>
  <c r="F227" i="3"/>
  <c r="H228" i="3" l="1" a="1"/>
  <c r="E228" i="3" l="1"/>
  <c r="F228" i="3"/>
  <c r="H228" i="3"/>
  <c r="C228" i="3" s="1"/>
  <c r="D228" i="3"/>
  <c r="H229" i="3" l="1" a="1"/>
  <c r="D229" i="3" l="1"/>
  <c r="F229" i="3"/>
  <c r="E229" i="3"/>
  <c r="H229" i="3"/>
  <c r="C229" i="3" s="1"/>
  <c r="H230" i="3" l="1" a="1"/>
  <c r="D230" i="3" l="1"/>
  <c r="F230" i="3"/>
  <c r="E230" i="3"/>
  <c r="H230" i="3"/>
  <c r="C230" i="3" s="1"/>
  <c r="H231" i="3" l="1" a="1"/>
  <c r="D231" i="3" l="1"/>
  <c r="F231" i="3"/>
  <c r="H231" i="3"/>
  <c r="C231" i="3" s="1"/>
  <c r="E231" i="3"/>
  <c r="H232" i="3" l="1" a="1"/>
  <c r="F232" i="3" l="1"/>
  <c r="D232" i="3"/>
  <c r="E232" i="3"/>
  <c r="H232" i="3"/>
  <c r="C232" i="3" s="1"/>
  <c r="H233" i="3" l="1" a="1"/>
  <c r="D233" i="3" l="1"/>
  <c r="F233" i="3"/>
  <c r="E233" i="3"/>
  <c r="H233" i="3"/>
  <c r="C233" i="3" s="1"/>
  <c r="H234" i="3" l="1" a="1"/>
  <c r="D234" i="3" l="1"/>
  <c r="F234" i="3"/>
  <c r="H234" i="3"/>
  <c r="C234" i="3" s="1"/>
  <c r="E234" i="3"/>
  <c r="H235" i="3" l="1" a="1"/>
  <c r="H235" i="3" s="1"/>
  <c r="C235" i="3" s="1"/>
  <c r="F235" i="3"/>
  <c r="E235" i="3" l="1"/>
  <c r="D235" i="3"/>
  <c r="H236" i="3" s="1" a="1"/>
  <c r="F236" i="3" l="1"/>
  <c r="D236" i="3"/>
  <c r="E236" i="3"/>
  <c r="H236" i="3"/>
  <c r="C236" i="3" s="1"/>
  <c r="H237" i="3" l="1" a="1"/>
  <c r="F237" i="3" l="1"/>
  <c r="D237" i="3"/>
  <c r="E237" i="3"/>
  <c r="H237" i="3"/>
  <c r="C237" i="3" s="1"/>
  <c r="H238" i="3" l="1" a="1"/>
  <c r="D238" i="3" l="1"/>
  <c r="F238" i="3"/>
  <c r="E238" i="3"/>
  <c r="H238" i="3"/>
  <c r="C238" i="3" s="1"/>
  <c r="H239" i="3" l="1" a="1"/>
  <c r="F239" i="3" l="1"/>
  <c r="D239" i="3"/>
  <c r="E239" i="3"/>
  <c r="H239" i="3"/>
  <c r="C239" i="3" s="1"/>
  <c r="H240" i="3" l="1" a="1"/>
  <c r="D240" i="3" l="1"/>
  <c r="F240" i="3"/>
  <c r="E240" i="3"/>
  <c r="H240" i="3"/>
  <c r="C240" i="3" s="1"/>
  <c r="H241" i="3" l="1" a="1"/>
  <c r="D241" i="3" l="1"/>
  <c r="F241" i="3"/>
  <c r="E241" i="3"/>
  <c r="H241" i="3"/>
  <c r="C241" i="3" s="1"/>
  <c r="H242" i="3" l="1" a="1"/>
  <c r="D242" i="3" l="1"/>
  <c r="F242" i="3"/>
  <c r="E242" i="3"/>
  <c r="H242" i="3"/>
  <c r="C242" i="3" s="1"/>
  <c r="H243" i="3" l="1" a="1"/>
  <c r="D243" i="3" l="1"/>
  <c r="F243" i="3"/>
  <c r="E243" i="3"/>
  <c r="H243" i="3"/>
  <c r="C243" i="3" s="1"/>
  <c r="H244" i="3" l="1" a="1"/>
  <c r="D244" i="3" l="1"/>
  <c r="F244" i="3"/>
  <c r="E244" i="3"/>
  <c r="H244" i="3"/>
  <c r="C244" i="3" s="1"/>
  <c r="H245" i="3" l="1" a="1"/>
  <c r="F245" i="3" l="1"/>
  <c r="D245" i="3"/>
  <c r="E245" i="3"/>
  <c r="H245" i="3"/>
  <c r="C245" i="3" s="1"/>
  <c r="H246" i="3" l="1" a="1"/>
  <c r="F246" i="3" l="1"/>
  <c r="D246" i="3"/>
  <c r="E246" i="3"/>
  <c r="H246" i="3"/>
  <c r="C246" i="3" s="1"/>
  <c r="H247" i="3" l="1" a="1"/>
  <c r="H247" i="3" l="1"/>
  <c r="C247" i="3" s="1"/>
  <c r="E247" i="3"/>
  <c r="F247" i="3"/>
  <c r="D247" i="3"/>
  <c r="H248" i="3" l="1" a="1"/>
  <c r="F248" i="3" s="1"/>
  <c r="E248" i="3" l="1"/>
  <c r="H248" i="3"/>
  <c r="C248" i="3" s="1"/>
  <c r="D248" i="3"/>
  <c r="H249" i="3" a="1"/>
  <c r="D249" i="3" l="1"/>
  <c r="E249" i="3"/>
  <c r="H249" i="3"/>
  <c r="C249" i="3" s="1"/>
  <c r="F249" i="3"/>
  <c r="H250" i="3" l="1" a="1"/>
  <c r="D250" i="3" l="1"/>
  <c r="E250" i="3"/>
  <c r="H250" i="3"/>
  <c r="C250" i="3" s="1"/>
  <c r="F250" i="3"/>
  <c r="H251" i="3" l="1" a="1"/>
  <c r="D251" i="3" l="1"/>
  <c r="F251" i="3"/>
  <c r="H251" i="3"/>
  <c r="C251" i="3" s="1"/>
  <c r="E251" i="3"/>
  <c r="H252" i="3" l="1" a="1"/>
  <c r="D252" i="3" l="1"/>
  <c r="F252" i="3"/>
  <c r="H252" i="3"/>
  <c r="C252" i="3" s="1"/>
  <c r="E252" i="3"/>
  <c r="H253" i="3" l="1" a="1"/>
  <c r="F253" i="3" l="1"/>
  <c r="D253" i="3"/>
  <c r="H253" i="3"/>
  <c r="C253" i="3" s="1"/>
  <c r="E253" i="3"/>
  <c r="H254" i="3" l="1" a="1"/>
  <c r="F254" i="3" l="1"/>
  <c r="D254" i="3"/>
  <c r="H254" i="3"/>
  <c r="C254" i="3" s="1"/>
  <c r="E254" i="3"/>
  <c r="H255" i="3" l="1" a="1"/>
  <c r="F255" i="3" l="1"/>
  <c r="D255" i="3"/>
  <c r="E255" i="3"/>
  <c r="H255" i="3"/>
  <c r="C255" i="3" s="1"/>
  <c r="H256" i="3" l="1" a="1"/>
  <c r="F256" i="3" l="1"/>
  <c r="E256" i="3"/>
  <c r="H256" i="3"/>
  <c r="C256" i="3" s="1"/>
  <c r="D256" i="3"/>
  <c r="H257" i="3" l="1" a="1"/>
  <c r="F257" i="3" l="1"/>
  <c r="E257" i="3"/>
  <c r="D257" i="3"/>
  <c r="H257" i="3"/>
  <c r="C257" i="3" s="1"/>
  <c r="H258" i="3" l="1" a="1"/>
  <c r="F258" i="3" l="1"/>
  <c r="H258" i="3"/>
  <c r="C258" i="3" s="1"/>
  <c r="D258" i="3"/>
  <c r="E258" i="3"/>
  <c r="H259" i="3" l="1" a="1"/>
  <c r="F259" i="3" l="1"/>
  <c r="D259" i="3"/>
  <c r="H259" i="3"/>
  <c r="C259" i="3" s="1"/>
  <c r="E259" i="3"/>
  <c r="H260" i="3" l="1" a="1"/>
  <c r="F260" i="3" l="1"/>
  <c r="E260" i="3"/>
  <c r="D260" i="3"/>
  <c r="H260" i="3"/>
  <c r="C260" i="3" s="1"/>
  <c r="H261" i="3" l="1" a="1"/>
  <c r="F261" i="3" l="1"/>
  <c r="D261" i="3"/>
  <c r="H261" i="3"/>
  <c r="C261" i="3" s="1"/>
  <c r="E261" i="3"/>
  <c r="H262" i="3" l="1" a="1"/>
  <c r="F262" i="3" l="1"/>
  <c r="D262" i="3"/>
  <c r="E262" i="3"/>
  <c r="H262" i="3"/>
  <c r="C262" i="3" s="1"/>
  <c r="H263" i="3" l="1" a="1"/>
  <c r="F263" i="3" l="1"/>
  <c r="E263" i="3"/>
  <c r="D263" i="3"/>
  <c r="H263" i="3"/>
  <c r="C263" i="3" s="1"/>
  <c r="H264" i="3" l="1" a="1"/>
  <c r="D264" i="3" l="1"/>
  <c r="H264" i="3"/>
  <c r="C264" i="3" s="1"/>
  <c r="E264" i="3"/>
  <c r="F264" i="3"/>
  <c r="H265" i="3" l="1" a="1"/>
  <c r="H265" i="3" l="1"/>
  <c r="C265" i="3" s="1"/>
  <c r="E265" i="3"/>
  <c r="D265" i="3"/>
  <c r="F265" i="3"/>
  <c r="H266" i="3" l="1" a="1"/>
  <c r="F266" i="3" l="1"/>
  <c r="H266" i="3"/>
  <c r="C266" i="3" s="1"/>
  <c r="E266" i="3"/>
  <c r="D266" i="3"/>
  <c r="H267" i="3" l="1" a="1"/>
  <c r="F267" i="3" l="1"/>
  <c r="D267" i="3"/>
  <c r="E267" i="3"/>
  <c r="H267" i="3"/>
  <c r="C267" i="3" s="1"/>
  <c r="H268" i="3" l="1" a="1"/>
  <c r="F268" i="3" l="1"/>
  <c r="E268" i="3"/>
  <c r="H268" i="3"/>
  <c r="C268" i="3" s="1"/>
  <c r="D268" i="3"/>
  <c r="H269" i="3" l="1" a="1"/>
  <c r="F269" i="3" l="1"/>
  <c r="D269" i="3"/>
  <c r="H269" i="3"/>
  <c r="C269" i="3" s="1"/>
  <c r="E269" i="3"/>
  <c r="H270" i="3" l="1" a="1"/>
  <c r="F270" i="3" l="1"/>
  <c r="D270" i="3"/>
  <c r="H270" i="3"/>
  <c r="C270" i="3" s="1"/>
  <c r="E270" i="3"/>
  <c r="H271" i="3" l="1" a="1"/>
  <c r="F271" i="3" l="1"/>
  <c r="E271" i="3"/>
  <c r="D271" i="3"/>
  <c r="H271" i="3"/>
  <c r="C271" i="3" s="1"/>
  <c r="H272" i="3" l="1" a="1"/>
  <c r="F272" i="3" l="1"/>
  <c r="E272" i="3"/>
  <c r="D272" i="3"/>
  <c r="H272" i="3"/>
  <c r="C272" i="3" s="1"/>
  <c r="H273" i="3" l="1" a="1"/>
  <c r="E273" i="3" l="1"/>
  <c r="F273" i="3"/>
  <c r="H273" i="3"/>
  <c r="C273" i="3" s="1"/>
  <c r="D273" i="3"/>
  <c r="H274" i="3" l="1" a="1"/>
  <c r="E274" i="3" l="1"/>
  <c r="D274" i="3"/>
  <c r="F274" i="3"/>
  <c r="H274" i="3"/>
  <c r="C274" i="3" s="1"/>
  <c r="H275" i="3" l="1" a="1"/>
  <c r="D275" i="3" l="1"/>
  <c r="H275" i="3"/>
  <c r="C275" i="3" s="1"/>
  <c r="F275" i="3"/>
  <c r="E275" i="3"/>
  <c r="H276" i="3" l="1" a="1"/>
  <c r="F276" i="3" l="1"/>
  <c r="D276" i="3"/>
  <c r="E276" i="3"/>
  <c r="H276" i="3"/>
  <c r="C276" i="3" s="1"/>
  <c r="H277" i="3" l="1" a="1"/>
  <c r="F277" i="3" l="1"/>
  <c r="H277" i="3"/>
  <c r="C277" i="3" s="1"/>
  <c r="E277" i="3"/>
  <c r="D277" i="3"/>
  <c r="H278" i="3" l="1" a="1"/>
  <c r="F278" i="3" l="1"/>
  <c r="D278" i="3"/>
  <c r="E278" i="3"/>
  <c r="H278" i="3"/>
  <c r="C278" i="3" s="1"/>
  <c r="H279" i="3" l="1" a="1"/>
  <c r="F279" i="3" l="1"/>
  <c r="E279" i="3"/>
  <c r="D279" i="3"/>
  <c r="H279" i="3"/>
  <c r="C279" i="3" s="1"/>
  <c r="H280" i="3" l="1" a="1"/>
  <c r="H280" i="3" l="1"/>
  <c r="C280" i="3" s="1"/>
  <c r="E280" i="3"/>
  <c r="D280" i="3"/>
  <c r="F280" i="3"/>
  <c r="H281" i="3" l="1" a="1"/>
  <c r="F281" i="3" l="1"/>
  <c r="H281" i="3"/>
  <c r="C281" i="3" s="1"/>
  <c r="E281" i="3"/>
  <c r="D281" i="3"/>
  <c r="H282" i="3" l="1" a="1"/>
  <c r="D282" i="3" l="1"/>
  <c r="F282" i="3"/>
  <c r="E282" i="3"/>
  <c r="H282" i="3"/>
  <c r="C282" i="3" s="1"/>
  <c r="H283" i="3" l="1" a="1"/>
  <c r="F283" i="3" l="1"/>
  <c r="E283" i="3"/>
  <c r="H283" i="3"/>
  <c r="C283" i="3" s="1"/>
  <c r="D283" i="3"/>
  <c r="H284" i="3" l="1" a="1"/>
  <c r="F284" i="3" l="1"/>
  <c r="E284" i="3"/>
  <c r="D284" i="3"/>
  <c r="H284" i="3"/>
  <c r="C284" i="3" s="1"/>
  <c r="H285" i="3" l="1" a="1"/>
  <c r="F285" i="3" l="1"/>
  <c r="H285" i="3"/>
  <c r="C285" i="3" s="1"/>
  <c r="E285" i="3"/>
  <c r="D285" i="3"/>
  <c r="H286" i="3" l="1" a="1"/>
  <c r="D286" i="3" l="1"/>
  <c r="F286" i="3"/>
  <c r="E286" i="3"/>
  <c r="H286" i="3"/>
  <c r="C286" i="3" s="1"/>
  <c r="H287" i="3" l="1" a="1"/>
  <c r="D287" i="3" l="1"/>
  <c r="H287" i="3"/>
  <c r="C287" i="3" s="1"/>
  <c r="F287" i="3"/>
  <c r="E287" i="3"/>
  <c r="H288" i="3" l="1" a="1"/>
  <c r="E288" i="3" l="1"/>
  <c r="D288" i="3"/>
  <c r="F288" i="3"/>
  <c r="H288" i="3"/>
  <c r="C288" i="3" s="1"/>
  <c r="H289" i="3" l="1" a="1"/>
  <c r="F289" i="3" l="1"/>
  <c r="E289" i="3"/>
  <c r="D289" i="3"/>
  <c r="H289" i="3"/>
  <c r="C289" i="3" s="1"/>
  <c r="H290" i="3" l="1" a="1"/>
  <c r="D290" i="3" l="1"/>
  <c r="F290" i="3"/>
  <c r="E290" i="3"/>
  <c r="H290" i="3"/>
  <c r="C290" i="3" s="1"/>
  <c r="H291" i="3" l="1" a="1"/>
  <c r="F291" i="3" l="1"/>
  <c r="H291" i="3"/>
  <c r="C291" i="3" s="1"/>
  <c r="D291" i="3"/>
  <c r="E291" i="3"/>
  <c r="H292" i="3" l="1" a="1"/>
  <c r="D292" i="3" l="1"/>
  <c r="F292" i="3"/>
  <c r="E292" i="3"/>
  <c r="H292" i="3"/>
  <c r="C292" i="3" s="1"/>
  <c r="H293" i="3" l="1" a="1"/>
  <c r="D293" i="3" l="1"/>
  <c r="E293" i="3"/>
  <c r="H293" i="3"/>
  <c r="C293" i="3" s="1"/>
  <c r="F293" i="3"/>
  <c r="H294" i="3" l="1" a="1"/>
  <c r="D294" i="3" l="1"/>
  <c r="F294" i="3"/>
  <c r="E294" i="3"/>
  <c r="H294" i="3"/>
  <c r="C294" i="3" s="1"/>
  <c r="H295" i="3" l="1" a="1"/>
  <c r="D295" i="3" l="1"/>
  <c r="F295" i="3"/>
  <c r="E295" i="3"/>
  <c r="H295" i="3"/>
  <c r="C295" i="3" s="1"/>
  <c r="H296" i="3" l="1" a="1"/>
  <c r="D296" i="3" l="1"/>
  <c r="F296" i="3"/>
  <c r="E296" i="3"/>
  <c r="H296" i="3"/>
  <c r="C296" i="3" s="1"/>
  <c r="H297" i="3" l="1" a="1"/>
  <c r="F297" i="3" l="1"/>
  <c r="D297" i="3"/>
  <c r="E297" i="3"/>
  <c r="H297" i="3"/>
  <c r="C297" i="3" s="1"/>
  <c r="H298" i="3" l="1" a="1"/>
  <c r="F298" i="3" l="1"/>
  <c r="D298" i="3"/>
  <c r="E298" i="3"/>
  <c r="H298" i="3"/>
  <c r="C298" i="3" s="1"/>
  <c r="H299" i="3" l="1" a="1"/>
  <c r="F299" i="3" l="1"/>
  <c r="H299" i="3"/>
  <c r="C299" i="3" s="1"/>
  <c r="E299" i="3"/>
  <c r="D299" i="3"/>
  <c r="H300" i="3" l="1" a="1"/>
  <c r="F300" i="3" l="1"/>
  <c r="E300" i="3"/>
  <c r="H300" i="3"/>
  <c r="C300" i="3" s="1"/>
  <c r="D300" i="3"/>
  <c r="H301" i="3" l="1" a="1"/>
  <c r="F301" i="3" l="1"/>
  <c r="D301" i="3"/>
  <c r="E301" i="3"/>
  <c r="H301" i="3"/>
  <c r="C301" i="3" s="1"/>
  <c r="H302" i="3" l="1" a="1"/>
  <c r="H302" i="3" l="1"/>
  <c r="C302" i="3" s="1"/>
  <c r="E302" i="3"/>
  <c r="F302" i="3"/>
  <c r="D302" i="3"/>
  <c r="H303" i="3" l="1" a="1"/>
  <c r="F303" i="3" l="1"/>
  <c r="E303" i="3"/>
  <c r="H303" i="3"/>
  <c r="C303" i="3" s="1"/>
  <c r="D303" i="3"/>
  <c r="H304" i="3" l="1" a="1"/>
  <c r="E304" i="3" l="1"/>
  <c r="F304" i="3"/>
  <c r="H304" i="3"/>
  <c r="C304" i="3" s="1"/>
  <c r="D304" i="3"/>
  <c r="H305" i="3" l="1" a="1"/>
  <c r="F305" i="3" l="1"/>
  <c r="H305" i="3"/>
  <c r="C305" i="3" s="1"/>
  <c r="E305" i="3"/>
  <c r="D305" i="3"/>
  <c r="H306" i="3" l="1" a="1"/>
  <c r="F306" i="3" l="1"/>
  <c r="E306" i="3"/>
  <c r="H306" i="3"/>
  <c r="C306" i="3" s="1"/>
  <c r="D306" i="3"/>
  <c r="H307" i="3" l="1" a="1"/>
  <c r="D307" i="3" l="1"/>
  <c r="F307" i="3"/>
  <c r="E307" i="3"/>
  <c r="H307" i="3"/>
  <c r="C307" i="3" s="1"/>
  <c r="H308" i="3" l="1" a="1"/>
  <c r="E308" i="3" l="1"/>
  <c r="H308" i="3"/>
  <c r="C308" i="3" s="1"/>
  <c r="D308" i="3"/>
  <c r="F308" i="3"/>
  <c r="H309" i="3" l="1" a="1"/>
  <c r="E309" i="3" l="1"/>
  <c r="D309" i="3"/>
  <c r="H309" i="3"/>
  <c r="C309" i="3" s="1"/>
  <c r="F309" i="3"/>
  <c r="H310" i="3" l="1" a="1"/>
  <c r="F310" i="3" l="1"/>
  <c r="D310" i="3"/>
  <c r="H310" i="3"/>
  <c r="C310" i="3" s="1"/>
  <c r="E310" i="3"/>
  <c r="H311" i="3" l="1" a="1"/>
  <c r="F311" i="3" l="1"/>
  <c r="D311" i="3"/>
  <c r="H311" i="3"/>
  <c r="C311" i="3" s="1"/>
  <c r="E311" i="3"/>
  <c r="H312" i="3" l="1" a="1"/>
  <c r="D312" i="3" l="1"/>
  <c r="F312" i="3"/>
  <c r="H312" i="3"/>
  <c r="C312" i="3" s="1"/>
  <c r="E312" i="3"/>
  <c r="H313" i="3" l="1" a="1"/>
  <c r="F313" i="3" l="1"/>
  <c r="H313" i="3"/>
  <c r="C313" i="3" s="1"/>
  <c r="D313" i="3"/>
  <c r="E313" i="3"/>
  <c r="H314" i="3" l="1" a="1"/>
  <c r="F314" i="3" l="1"/>
  <c r="D314" i="3"/>
  <c r="E314" i="3"/>
  <c r="H314" i="3"/>
  <c r="C314" i="3" s="1"/>
  <c r="H315" i="3" l="1" a="1"/>
  <c r="F315" i="3" l="1"/>
  <c r="E315" i="3"/>
  <c r="D315" i="3"/>
  <c r="H315" i="3"/>
  <c r="C315" i="3" s="1"/>
  <c r="H316" i="3" l="1" a="1"/>
  <c r="F316" i="3" l="1"/>
  <c r="D316" i="3"/>
  <c r="H316" i="3"/>
  <c r="C316" i="3" s="1"/>
  <c r="E316" i="3"/>
  <c r="H317" i="3" l="1" a="1"/>
  <c r="F317" i="3" l="1"/>
  <c r="E317" i="3"/>
  <c r="H317" i="3"/>
  <c r="C317" i="3" s="1"/>
  <c r="D317" i="3"/>
  <c r="H318" i="3" l="1" a="1"/>
  <c r="F318" i="3" l="1"/>
  <c r="E318" i="3"/>
  <c r="D318" i="3"/>
  <c r="H318" i="3"/>
  <c r="C318" i="3" s="1"/>
  <c r="H319" i="3" l="1" a="1"/>
  <c r="F319" i="3" l="1"/>
  <c r="D319" i="3"/>
  <c r="E319" i="3"/>
  <c r="H319" i="3"/>
  <c r="C319" i="3" s="1"/>
  <c r="H320" i="3" l="1" a="1"/>
  <c r="D320" i="3" l="1"/>
  <c r="E320" i="3"/>
  <c r="H320" i="3"/>
  <c r="C320" i="3" s="1"/>
  <c r="F320" i="3"/>
  <c r="H321" i="3" l="1" a="1"/>
  <c r="F321" i="3" l="1"/>
  <c r="D321" i="3"/>
  <c r="E321" i="3"/>
  <c r="H321" i="3"/>
  <c r="C321" i="3" s="1"/>
  <c r="H322" i="3" l="1" a="1"/>
  <c r="F322" i="3" l="1"/>
  <c r="D322" i="3"/>
  <c r="E322" i="3"/>
  <c r="H322" i="3"/>
  <c r="C322" i="3" s="1"/>
  <c r="H323" i="3" l="1" a="1"/>
  <c r="F323" i="3" l="1"/>
  <c r="E323" i="3"/>
  <c r="H323" i="3"/>
  <c r="C323" i="3" s="1"/>
  <c r="D323" i="3"/>
  <c r="H324" i="3" l="1" a="1"/>
  <c r="F324" i="3" l="1"/>
  <c r="D324" i="3"/>
  <c r="H324" i="3"/>
  <c r="C324" i="3" s="1"/>
  <c r="E324" i="3"/>
  <c r="H325" i="3" l="1" a="1"/>
  <c r="D325" i="3" l="1"/>
  <c r="F325" i="3"/>
  <c r="E325" i="3"/>
  <c r="H325" i="3"/>
  <c r="C325" i="3" s="1"/>
  <c r="H326" i="3" l="1" a="1"/>
  <c r="E326" i="3" l="1"/>
  <c r="D326" i="3"/>
  <c r="F326" i="3"/>
  <c r="H326" i="3"/>
  <c r="C326" i="3" s="1"/>
  <c r="H327" i="3" l="1" a="1"/>
  <c r="D327" i="3" l="1"/>
  <c r="F327" i="3"/>
  <c r="E327" i="3"/>
  <c r="H327" i="3"/>
  <c r="C327" i="3" s="1"/>
  <c r="H328" i="3" l="1" a="1"/>
  <c r="E328" i="3" l="1"/>
  <c r="F328" i="3"/>
  <c r="H328" i="3"/>
  <c r="C328" i="3" s="1"/>
  <c r="D328" i="3"/>
  <c r="H329" i="3" l="1" a="1"/>
  <c r="D329" i="3" l="1"/>
  <c r="F329" i="3"/>
  <c r="E329" i="3"/>
  <c r="H329" i="3"/>
  <c r="C329" i="3" s="1"/>
  <c r="H330" i="3" l="1" a="1"/>
  <c r="D330" i="3" l="1"/>
  <c r="E330" i="3"/>
  <c r="H330" i="3"/>
  <c r="C330" i="3" s="1"/>
  <c r="F330" i="3"/>
  <c r="H331" i="3" l="1" a="1"/>
  <c r="E331" i="3" l="1"/>
  <c r="D331" i="3"/>
  <c r="H331" i="3"/>
  <c r="C331" i="3" s="1"/>
  <c r="F331" i="3"/>
  <c r="H332" i="3" l="1" a="1"/>
  <c r="F332" i="3" l="1"/>
  <c r="E332" i="3"/>
  <c r="D332" i="3"/>
  <c r="H332" i="3"/>
  <c r="C332" i="3" s="1"/>
  <c r="H333" i="3" l="1" a="1"/>
  <c r="D333" i="3" l="1"/>
  <c r="F333" i="3"/>
  <c r="E333" i="3"/>
  <c r="H333" i="3"/>
  <c r="C333" i="3" s="1"/>
  <c r="H334" i="3" l="1" a="1"/>
  <c r="D334" i="3" l="1"/>
  <c r="F334" i="3"/>
  <c r="E334" i="3"/>
  <c r="H334" i="3"/>
  <c r="C334" i="3" s="1"/>
  <c r="H335" i="3" l="1" a="1"/>
  <c r="D335" i="3" l="1"/>
  <c r="F335" i="3"/>
  <c r="E335" i="3"/>
  <c r="H335" i="3"/>
  <c r="C335" i="3" s="1"/>
  <c r="H336" i="3" l="1" a="1"/>
  <c r="D336" i="3" l="1"/>
  <c r="F336" i="3"/>
  <c r="E336" i="3"/>
  <c r="H336" i="3"/>
  <c r="C336" i="3" s="1"/>
  <c r="H337" i="3" l="1" a="1"/>
  <c r="E337" i="3" l="1"/>
  <c r="D337" i="3"/>
  <c r="F337" i="3"/>
  <c r="H337" i="3"/>
  <c r="C337" i="3" s="1"/>
  <c r="H338" i="3" l="1" a="1"/>
  <c r="H338" i="3" l="1"/>
  <c r="C338" i="3" s="1"/>
  <c r="D338" i="3"/>
  <c r="E338" i="3"/>
  <c r="F338" i="3"/>
  <c r="H339" i="3" l="1" a="1"/>
  <c r="F339" i="3" l="1"/>
  <c r="D339" i="3"/>
  <c r="E339" i="3"/>
  <c r="H339" i="3"/>
  <c r="C339" i="3" s="1"/>
  <c r="H340" i="3" l="1" a="1"/>
  <c r="F340" i="3" l="1"/>
  <c r="D340" i="3"/>
  <c r="E340" i="3"/>
  <c r="H340" i="3"/>
  <c r="C340" i="3" s="1"/>
  <c r="H341" i="3" l="1" a="1"/>
  <c r="E341" i="3" l="1"/>
  <c r="F341" i="3"/>
  <c r="D341" i="3"/>
  <c r="H341" i="3"/>
  <c r="C341" i="3" s="1"/>
  <c r="H342" i="3" l="1" a="1"/>
  <c r="D342" i="3" l="1"/>
  <c r="F342" i="3"/>
  <c r="H342" i="3"/>
  <c r="C342" i="3" s="1"/>
  <c r="E342" i="3"/>
  <c r="H343" i="3" l="1" a="1"/>
  <c r="H343" i="3" l="1"/>
  <c r="C343" i="3" s="1"/>
  <c r="D343" i="3"/>
  <c r="F343" i="3"/>
  <c r="E343" i="3"/>
  <c r="H344" i="3" l="1" a="1"/>
  <c r="F344" i="3" l="1"/>
  <c r="D344" i="3"/>
  <c r="E344" i="3"/>
  <c r="H344" i="3"/>
  <c r="C344" i="3" s="1"/>
  <c r="H345" i="3" l="1" a="1"/>
  <c r="F345" i="3" l="1"/>
  <c r="H345" i="3"/>
  <c r="C345" i="3" s="1"/>
  <c r="D345" i="3"/>
  <c r="E345" i="3"/>
  <c r="H346" i="3" l="1" a="1"/>
  <c r="F346" i="3" l="1"/>
  <c r="D346" i="3"/>
  <c r="H346" i="3"/>
  <c r="C346" i="3" s="1"/>
  <c r="E346" i="3"/>
  <c r="H347" i="3" l="1" a="1"/>
  <c r="H347" i="3" l="1"/>
  <c r="C347" i="3" s="1"/>
  <c r="D347" i="3"/>
  <c r="F347" i="3"/>
  <c r="E347" i="3"/>
  <c r="H348" i="3" l="1" a="1"/>
  <c r="H348" i="3" l="1"/>
  <c r="C348" i="3" s="1"/>
  <c r="D348" i="3"/>
  <c r="E348" i="3"/>
  <c r="F348" i="3"/>
  <c r="H349" i="3" l="1" a="1"/>
  <c r="F349" i="3" l="1"/>
  <c r="D349" i="3"/>
  <c r="H349" i="3"/>
  <c r="C349" i="3" s="1"/>
  <c r="E349" i="3"/>
  <c r="H350" i="3" l="1" a="1"/>
  <c r="H350" i="3" l="1"/>
  <c r="C350" i="3" s="1"/>
  <c r="D350" i="3"/>
  <c r="E350" i="3"/>
  <c r="F350" i="3"/>
  <c r="H351" i="3" l="1" a="1"/>
  <c r="H351" i="3" l="1"/>
  <c r="C351" i="3" s="1"/>
  <c r="D351" i="3"/>
  <c r="E351" i="3"/>
  <c r="F351" i="3"/>
  <c r="H352" i="3" l="1" a="1"/>
  <c r="H352" i="3" l="1"/>
  <c r="C352" i="3" s="1"/>
  <c r="D352" i="3"/>
  <c r="E352" i="3"/>
  <c r="F352" i="3"/>
  <c r="H353" i="3" l="1" a="1"/>
  <c r="E353" i="3" l="1"/>
  <c r="H353" i="3"/>
  <c r="C353" i="3" s="1"/>
  <c r="F353" i="3"/>
  <c r="D353" i="3"/>
  <c r="H354" i="3" l="1" a="1"/>
  <c r="H354" i="3" l="1"/>
  <c r="C354" i="3" s="1"/>
  <c r="F354" i="3"/>
  <c r="E354" i="3"/>
  <c r="D354" i="3"/>
  <c r="H355" i="3" l="1" a="1"/>
  <c r="E355" i="3" l="1"/>
  <c r="H355" i="3"/>
  <c r="C355" i="3" s="1"/>
  <c r="F355" i="3"/>
  <c r="D355" i="3"/>
  <c r="H356" i="3" l="1" a="1"/>
  <c r="D356" i="3" l="1"/>
  <c r="F356" i="3"/>
  <c r="H356" i="3"/>
  <c r="C356" i="3" s="1"/>
  <c r="E356" i="3"/>
  <c r="H357" i="3" l="1" a="1"/>
  <c r="E357" i="3" l="1"/>
  <c r="D357" i="3"/>
  <c r="H357" i="3"/>
  <c r="C357" i="3" s="1"/>
  <c r="F357" i="3"/>
  <c r="H358" i="3" l="1" a="1"/>
  <c r="D358" i="3" l="1"/>
  <c r="H358" i="3"/>
  <c r="C358" i="3" s="1"/>
  <c r="E358" i="3"/>
  <c r="F358" i="3"/>
  <c r="H359" i="3" l="1" a="1"/>
  <c r="H359" i="3" l="1"/>
  <c r="C359" i="3" s="1"/>
  <c r="E359" i="3"/>
  <c r="D359" i="3"/>
  <c r="F359" i="3"/>
  <c r="H360" i="3" l="1" a="1"/>
  <c r="H360" i="3" l="1"/>
  <c r="C360" i="3" s="1"/>
  <c r="D360" i="3"/>
  <c r="F360" i="3"/>
  <c r="E360" i="3"/>
  <c r="H361" i="3" l="1" a="1"/>
  <c r="E361" i="3" l="1"/>
  <c r="F361" i="3"/>
  <c r="H361" i="3"/>
  <c r="C361" i="3" s="1"/>
  <c r="D361" i="3"/>
  <c r="H362" i="3" l="1" a="1"/>
  <c r="F362" i="3" l="1"/>
  <c r="D362" i="3"/>
  <c r="H362" i="3"/>
  <c r="C362" i="3" s="1"/>
  <c r="E362" i="3"/>
  <c r="H363" i="3" l="1" a="1"/>
  <c r="F363" i="3" l="1"/>
  <c r="D363" i="3"/>
  <c r="H363" i="3"/>
  <c r="C363" i="3" s="1"/>
  <c r="E363" i="3"/>
  <c r="H364" i="3" l="1" a="1"/>
  <c r="E364" i="3" l="1"/>
  <c r="D364" i="3"/>
  <c r="H364" i="3"/>
  <c r="C364" i="3" s="1"/>
  <c r="F364" i="3"/>
  <c r="H365" i="3" l="1" a="1"/>
  <c r="H365" i="3" l="1"/>
  <c r="C365" i="3" s="1"/>
  <c r="F365" i="3"/>
  <c r="E365" i="3"/>
  <c r="D365" i="3"/>
  <c r="H366" i="3" l="1" a="1"/>
  <c r="D366" i="3" l="1"/>
  <c r="E366" i="3"/>
  <c r="F366" i="3"/>
  <c r="H366" i="3"/>
  <c r="C366" i="3" s="1"/>
  <c r="H367" i="3" l="1" a="1"/>
  <c r="E367" i="3" l="1"/>
  <c r="D367" i="3"/>
  <c r="H367" i="3"/>
  <c r="C367" i="3" s="1"/>
  <c r="F367" i="3"/>
  <c r="H368" i="3" l="1" a="1"/>
  <c r="E368" i="3" l="1"/>
  <c r="H368" i="3"/>
  <c r="C368" i="3" s="1"/>
  <c r="D368" i="3"/>
  <c r="F368" i="3"/>
  <c r="H369" i="3" l="1" a="1"/>
  <c r="H369" i="3" l="1"/>
  <c r="C369" i="3" s="1"/>
  <c r="D369" i="3"/>
  <c r="F369" i="3"/>
  <c r="E369" i="3"/>
  <c r="H370" i="3" l="1" a="1"/>
  <c r="F370" i="3" l="1"/>
  <c r="E370" i="3"/>
  <c r="D370" i="3"/>
  <c r="H370" i="3"/>
  <c r="C370" i="3" s="1"/>
  <c r="H371" i="3" l="1" a="1"/>
  <c r="F371" i="3" l="1"/>
  <c r="E371" i="3"/>
  <c r="D371" i="3"/>
  <c r="H371" i="3"/>
  <c r="C371" i="3" s="1"/>
  <c r="H372" i="3" l="1" a="1"/>
  <c r="F372" i="3" l="1"/>
  <c r="D372" i="3"/>
  <c r="H372" i="3"/>
  <c r="C372" i="3" s="1"/>
  <c r="E372" i="3"/>
  <c r="H373" i="3" l="1" a="1"/>
  <c r="F373" i="3" l="1"/>
  <c r="E373" i="3"/>
  <c r="H373" i="3"/>
  <c r="C373" i="3" s="1"/>
  <c r="D373" i="3"/>
  <c r="H374" i="3" l="1" a="1"/>
  <c r="D374" i="3" l="1"/>
  <c r="E374" i="3"/>
  <c r="H374" i="3"/>
  <c r="C374" i="3" s="1"/>
  <c r="F374" i="3"/>
  <c r="H375" i="3" l="1" a="1"/>
  <c r="H375" i="3" l="1"/>
  <c r="C375" i="3" s="1"/>
  <c r="D375" i="3"/>
  <c r="F375" i="3"/>
  <c r="E375" i="3"/>
  <c r="H376" i="3" l="1" a="1"/>
  <c r="H376" i="3" l="1"/>
  <c r="C376" i="3" s="1"/>
  <c r="D376" i="3"/>
  <c r="E376" i="3"/>
  <c r="F376" i="3"/>
  <c r="H377" i="3" l="1" a="1"/>
  <c r="D377" i="3" l="1"/>
  <c r="E377" i="3"/>
  <c r="H377" i="3"/>
  <c r="C377" i="3" s="1"/>
  <c r="F377" i="3"/>
  <c r="H378" i="3" l="1" a="1"/>
  <c r="D378" i="3" l="1"/>
  <c r="H378" i="3"/>
  <c r="C378" i="3" s="1"/>
  <c r="F378" i="3"/>
  <c r="E378" i="3"/>
  <c r="H379" i="3" l="1" a="1"/>
  <c r="H379" i="3" l="1"/>
  <c r="C379" i="3" s="1"/>
  <c r="E379" i="3"/>
  <c r="F379" i="3"/>
  <c r="D379" i="3"/>
  <c r="H380" i="3" l="1" a="1"/>
  <c r="D380" i="3" l="1"/>
  <c r="H380" i="3"/>
  <c r="C380" i="3" s="1"/>
  <c r="F380" i="3"/>
  <c r="E380" i="3"/>
  <c r="H381" i="3" l="1" a="1"/>
  <c r="E381" i="3" l="1"/>
  <c r="F381" i="3"/>
  <c r="D381" i="3"/>
  <c r="H381" i="3"/>
  <c r="C381" i="3" s="1"/>
  <c r="H382" i="3" l="1" a="1"/>
  <c r="F382" i="3" l="1"/>
  <c r="D382" i="3"/>
  <c r="H382" i="3"/>
  <c r="C382" i="3" s="1"/>
  <c r="E382" i="3"/>
  <c r="H383" i="3" l="1" a="1"/>
  <c r="F383" i="3" l="1"/>
  <c r="H383" i="3"/>
  <c r="C383" i="3" s="1"/>
  <c r="D383" i="3"/>
  <c r="E383" i="3"/>
  <c r="H384" i="3" l="1" a="1"/>
  <c r="F384" i="3" l="1"/>
  <c r="H384" i="3"/>
  <c r="C384" i="3" s="1"/>
  <c r="D384" i="3"/>
  <c r="E384" i="3"/>
  <c r="H385" i="3" l="1" a="1"/>
  <c r="D385" i="3" l="1"/>
  <c r="F385" i="3"/>
  <c r="E385" i="3"/>
  <c r="H385" i="3"/>
  <c r="C385" i="3" s="1"/>
  <c r="H386" i="3" l="1" a="1"/>
  <c r="E386" i="3" l="1"/>
  <c r="D386" i="3"/>
  <c r="H386" i="3"/>
  <c r="C386" i="3" s="1"/>
  <c r="F386" i="3"/>
  <c r="H387" i="3" l="1" a="1"/>
  <c r="H387" i="3" l="1"/>
  <c r="C387" i="3" s="1"/>
  <c r="E387" i="3"/>
  <c r="F387" i="3"/>
  <c r="D387" i="3"/>
  <c r="H388" i="3" l="1" a="1"/>
  <c r="F388" i="3" l="1"/>
  <c r="E388" i="3"/>
  <c r="D388" i="3"/>
  <c r="H388" i="3"/>
  <c r="C388" i="3" s="1"/>
  <c r="H389" i="3" l="1" a="1"/>
  <c r="D389" i="3" l="1"/>
  <c r="H389" i="3"/>
  <c r="C389" i="3" s="1"/>
  <c r="E389" i="3"/>
  <c r="F389" i="3"/>
  <c r="H390" i="3" l="1" a="1"/>
  <c r="H390" i="3" l="1"/>
  <c r="C390" i="3" s="1"/>
  <c r="D390" i="3"/>
  <c r="F390" i="3"/>
  <c r="E390" i="3"/>
  <c r="H391" i="3" l="1" a="1"/>
  <c r="D391" i="3" l="1"/>
  <c r="E391" i="3"/>
  <c r="H391" i="3"/>
  <c r="C391" i="3" s="1"/>
  <c r="F391" i="3"/>
  <c r="H392" i="3" l="1" a="1"/>
  <c r="D392" i="3" l="1"/>
  <c r="F392" i="3"/>
  <c r="E392" i="3"/>
  <c r="H392" i="3"/>
  <c r="C392" i="3" s="1"/>
  <c r="H393" i="3" l="1" a="1"/>
  <c r="D393" i="3" l="1"/>
  <c r="E393" i="3"/>
  <c r="H393" i="3"/>
  <c r="C393" i="3" s="1"/>
  <c r="F393" i="3"/>
  <c r="H394" i="3" l="1" a="1"/>
  <c r="H394" i="3" l="1"/>
  <c r="C394" i="3" s="1"/>
  <c r="D394" i="3"/>
  <c r="F394" i="3"/>
  <c r="E394" i="3"/>
  <c r="H395" i="3" l="1" a="1"/>
  <c r="D395" i="3" l="1"/>
  <c r="E395" i="3"/>
  <c r="H395" i="3"/>
  <c r="C395" i="3" s="1"/>
  <c r="F395" i="3"/>
  <c r="H396" i="3" l="1" a="1"/>
  <c r="E396" i="3" l="1"/>
  <c r="D396" i="3"/>
  <c r="H396" i="3"/>
  <c r="C396" i="3" s="1"/>
  <c r="F396" i="3"/>
  <c r="H397" i="3" l="1" a="1"/>
  <c r="D397" i="3" l="1"/>
  <c r="E397" i="3"/>
  <c r="F397" i="3"/>
  <c r="H397" i="3"/>
  <c r="C397" i="3" s="1"/>
  <c r="H398" i="3" l="1" a="1"/>
  <c r="D398" i="3" l="1"/>
  <c r="E398" i="3"/>
  <c r="F398" i="3"/>
  <c r="H398" i="3"/>
  <c r="C398" i="3" s="1"/>
  <c r="H399" i="3" l="1" a="1"/>
  <c r="H399" i="3" l="1"/>
  <c r="C399" i="3" s="1"/>
  <c r="D399" i="3"/>
  <c r="E399" i="3"/>
  <c r="F399" i="3"/>
  <c r="H400" i="3" l="1" a="1"/>
  <c r="D400" i="3" l="1"/>
  <c r="F400" i="3"/>
  <c r="E400" i="3"/>
  <c r="H400" i="3"/>
  <c r="C400" i="3" s="1"/>
  <c r="H401" i="3" l="1" a="1"/>
  <c r="E401" i="3" l="1"/>
  <c r="F401" i="3"/>
  <c r="H401" i="3"/>
  <c r="C401" i="3" s="1"/>
  <c r="D401" i="3"/>
  <c r="H402" i="3" l="1" a="1"/>
  <c r="H402" i="3" l="1"/>
  <c r="C402" i="3" s="1"/>
  <c r="D402" i="3"/>
  <c r="E402" i="3"/>
  <c r="F402" i="3"/>
  <c r="H403" i="3" l="1" a="1"/>
  <c r="F403" i="3" l="1"/>
  <c r="E403" i="3"/>
  <c r="D403" i="3"/>
  <c r="H403" i="3"/>
  <c r="C403" i="3" s="1"/>
  <c r="H404" i="3" l="1" a="1"/>
  <c r="D404" i="3" l="1"/>
  <c r="E404" i="3"/>
  <c r="F404" i="3"/>
  <c r="H404" i="3"/>
  <c r="C404" i="3" s="1"/>
  <c r="H405" i="3" l="1" a="1"/>
  <c r="D405" i="3" l="1"/>
  <c r="E405" i="3"/>
  <c r="H405" i="3"/>
  <c r="C405" i="3" s="1"/>
  <c r="F405" i="3"/>
  <c r="H406" i="3" l="1" a="1"/>
  <c r="D406" i="3" l="1"/>
  <c r="F406" i="3"/>
  <c r="H406" i="3"/>
  <c r="C406" i="3" s="1"/>
  <c r="E406" i="3"/>
  <c r="H407" i="3" l="1" a="1"/>
  <c r="F407" i="3" l="1"/>
  <c r="E407" i="3"/>
  <c r="H407" i="3"/>
  <c r="C407" i="3" s="1"/>
  <c r="D407" i="3"/>
  <c r="H408" i="3" l="1" a="1"/>
  <c r="D408" i="3" l="1"/>
  <c r="F408" i="3"/>
  <c r="E408" i="3"/>
  <c r="H408" i="3"/>
  <c r="C408" i="3" s="1"/>
  <c r="H409" i="3" l="1" a="1"/>
  <c r="D409" i="3" l="1"/>
  <c r="F409" i="3"/>
  <c r="E409" i="3"/>
  <c r="H409" i="3"/>
  <c r="C409" i="3" s="1"/>
  <c r="H410" i="3" l="1" a="1"/>
  <c r="D410" i="3" l="1"/>
  <c r="E410" i="3"/>
  <c r="F410" i="3"/>
  <c r="H410" i="3"/>
  <c r="C410" i="3" s="1"/>
  <c r="H411" i="3" l="1" a="1"/>
  <c r="D411" i="3" l="1"/>
  <c r="F411" i="3"/>
  <c r="E411" i="3"/>
  <c r="H411" i="3"/>
  <c r="C411" i="3" s="1"/>
  <c r="H412" i="3" l="1" a="1"/>
  <c r="H412" i="3" l="1"/>
  <c r="C412" i="3" s="1"/>
  <c r="D412" i="3"/>
  <c r="F412" i="3"/>
  <c r="E412" i="3"/>
  <c r="H413" i="3" l="1" a="1"/>
  <c r="F413" i="3" l="1"/>
  <c r="D413" i="3"/>
  <c r="E413" i="3"/>
  <c r="H413" i="3"/>
  <c r="C413" i="3" s="1"/>
  <c r="H414" i="3" l="1" a="1"/>
  <c r="F414" i="3" l="1"/>
  <c r="E414" i="3"/>
  <c r="D414" i="3"/>
  <c r="H414" i="3"/>
  <c r="C414" i="3" s="1"/>
  <c r="H415" i="3" l="1" a="1"/>
  <c r="F415" i="3" l="1"/>
  <c r="E415" i="3"/>
  <c r="D415" i="3"/>
  <c r="H415" i="3"/>
  <c r="C415" i="3" s="1"/>
  <c r="H416" i="3" l="1" a="1"/>
  <c r="D416" i="3" l="1"/>
  <c r="F416" i="3"/>
  <c r="E416" i="3"/>
  <c r="H416" i="3"/>
  <c r="C416" i="3" s="1"/>
  <c r="H417" i="3" l="1" a="1"/>
  <c r="D417" i="3" l="1"/>
  <c r="F417" i="3"/>
  <c r="E417" i="3"/>
  <c r="H417" i="3"/>
  <c r="C417" i="3" s="1"/>
  <c r="H418" i="3" l="1" a="1"/>
  <c r="D418" i="3" l="1"/>
  <c r="F418" i="3"/>
  <c r="E418" i="3"/>
  <c r="H418" i="3"/>
  <c r="C418" i="3" s="1"/>
  <c r="H419" i="3" l="1" a="1"/>
  <c r="D419" i="3" l="1"/>
  <c r="F419" i="3"/>
  <c r="E419" i="3"/>
  <c r="H419" i="3"/>
  <c r="C419" i="3" s="1"/>
  <c r="H420" i="3" l="1" a="1"/>
  <c r="D420" i="3" l="1"/>
  <c r="F420" i="3"/>
  <c r="E420" i="3"/>
  <c r="H420" i="3"/>
  <c r="C420" i="3" s="1"/>
  <c r="H421" i="3" l="1" a="1"/>
  <c r="D421" i="3" l="1"/>
  <c r="F421" i="3"/>
  <c r="E421" i="3"/>
  <c r="H421" i="3"/>
  <c r="C421" i="3" s="1"/>
  <c r="H422" i="3" l="1" a="1"/>
  <c r="D422" i="3" l="1"/>
  <c r="F422" i="3"/>
  <c r="E422" i="3"/>
  <c r="H422" i="3"/>
  <c r="C422" i="3" s="1"/>
  <c r="H423" i="3" l="1" a="1"/>
  <c r="D423" i="3" l="1"/>
  <c r="F423" i="3"/>
  <c r="E423" i="3"/>
  <c r="H423" i="3"/>
  <c r="C423" i="3" s="1"/>
  <c r="H424" i="3" l="1" a="1"/>
  <c r="D424" i="3" l="1"/>
  <c r="F424" i="3"/>
  <c r="E424" i="3"/>
  <c r="H424" i="3"/>
  <c r="C424" i="3" s="1"/>
  <c r="H425" i="3" l="1" a="1"/>
  <c r="D425" i="3" l="1"/>
  <c r="F425" i="3"/>
  <c r="E425" i="3"/>
  <c r="H425" i="3"/>
  <c r="C425" i="3" s="1"/>
  <c r="H426" i="3" l="1" a="1"/>
  <c r="D426" i="3" l="1"/>
  <c r="F426" i="3"/>
  <c r="E426" i="3"/>
  <c r="H426" i="3"/>
  <c r="C426" i="3" s="1"/>
  <c r="H427" i="3" l="1" a="1"/>
  <c r="D427" i="3" l="1"/>
  <c r="F427" i="3"/>
  <c r="E427" i="3"/>
  <c r="H427" i="3"/>
  <c r="C427" i="3" s="1"/>
  <c r="H428" i="3" l="1" a="1"/>
  <c r="D428" i="3" l="1"/>
  <c r="F428" i="3"/>
  <c r="H428" i="3"/>
  <c r="C428" i="3" s="1"/>
  <c r="E428" i="3"/>
  <c r="H429" i="3" l="1" a="1"/>
  <c r="D429" i="3" l="1"/>
  <c r="F429" i="3"/>
  <c r="E429" i="3"/>
  <c r="H429" i="3"/>
  <c r="C429" i="3" s="1"/>
  <c r="H430" i="3" l="1" a="1"/>
  <c r="D430" i="3" l="1"/>
  <c r="F430" i="3"/>
  <c r="E430" i="3"/>
  <c r="H430" i="3"/>
  <c r="C430" i="3" s="1"/>
  <c r="H431" i="3" l="1" a="1"/>
  <c r="D431" i="3" l="1"/>
  <c r="F431" i="3"/>
  <c r="E431" i="3"/>
  <c r="H431" i="3"/>
  <c r="C431" i="3" s="1"/>
  <c r="H432" i="3" l="1" a="1"/>
  <c r="D432" i="3" l="1"/>
  <c r="F432" i="3"/>
  <c r="E432" i="3"/>
  <c r="H432" i="3"/>
  <c r="C432" i="3" s="1"/>
  <c r="H433" i="3" l="1" a="1"/>
  <c r="D433" i="3" l="1"/>
  <c r="F433" i="3"/>
  <c r="E433" i="3"/>
  <c r="H433" i="3"/>
  <c r="C433" i="3" s="1"/>
  <c r="H434" i="3" l="1" a="1"/>
  <c r="E434" i="3" l="1"/>
  <c r="D434" i="3"/>
  <c r="F434" i="3"/>
  <c r="H434" i="3"/>
  <c r="C434" i="3" s="1"/>
  <c r="H435" i="3" l="1" a="1"/>
  <c r="D435" i="3" l="1"/>
  <c r="F435" i="3"/>
  <c r="E435" i="3"/>
  <c r="H435" i="3"/>
  <c r="C435" i="3" s="1"/>
  <c r="H436" i="3" l="1" a="1"/>
  <c r="E436" i="3" l="1"/>
  <c r="D436" i="3"/>
  <c r="F436" i="3"/>
  <c r="H436" i="3"/>
  <c r="C436" i="3" s="1"/>
  <c r="H437" i="3" l="1" a="1"/>
  <c r="D437" i="3" l="1"/>
  <c r="F437" i="3"/>
  <c r="E437" i="3"/>
  <c r="H437" i="3"/>
  <c r="C437" i="3" s="1"/>
  <c r="H438" i="3" l="1" a="1"/>
  <c r="D438" i="3" l="1"/>
  <c r="F438" i="3"/>
  <c r="E438" i="3"/>
  <c r="H438" i="3"/>
  <c r="C438" i="3" s="1"/>
  <c r="H439" i="3" l="1" a="1"/>
  <c r="D439" i="3" l="1"/>
  <c r="F439" i="3"/>
  <c r="E439" i="3"/>
  <c r="H439" i="3"/>
  <c r="C439" i="3" s="1"/>
  <c r="H440" i="3" l="1" a="1"/>
  <c r="D440" i="3" l="1"/>
  <c r="F440" i="3"/>
  <c r="E440" i="3"/>
  <c r="H440" i="3"/>
  <c r="C440" i="3" s="1"/>
  <c r="H441" i="3" l="1" a="1"/>
  <c r="F441" i="3" l="1"/>
  <c r="D441" i="3"/>
  <c r="E441" i="3"/>
  <c r="H441" i="3"/>
  <c r="C441" i="3" s="1"/>
  <c r="H442" i="3" l="1" a="1"/>
  <c r="E442" i="3" l="1"/>
  <c r="D442" i="3"/>
  <c r="F442" i="3"/>
  <c r="H442" i="3"/>
  <c r="C442" i="3" s="1"/>
  <c r="H443" i="3" l="1" a="1"/>
  <c r="D443" i="3" l="1"/>
  <c r="F443" i="3"/>
  <c r="E443" i="3"/>
  <c r="H443" i="3"/>
  <c r="C443" i="3" s="1"/>
  <c r="H444" i="3" l="1" a="1"/>
  <c r="E444" i="3" l="1"/>
  <c r="D444" i="3"/>
  <c r="F444" i="3"/>
  <c r="H444" i="3"/>
  <c r="C444" i="3" s="1"/>
  <c r="H445" i="3" l="1" a="1"/>
  <c r="D445" i="3" l="1"/>
  <c r="F445" i="3"/>
  <c r="H445" i="3"/>
  <c r="C445" i="3" s="1"/>
  <c r="E445" i="3"/>
  <c r="H446" i="3" l="1" a="1"/>
  <c r="D446" i="3" l="1"/>
  <c r="F446" i="3"/>
  <c r="E446" i="3"/>
  <c r="H446" i="3"/>
  <c r="C446" i="3" s="1"/>
  <c r="H447" i="3" l="1" a="1"/>
  <c r="D447" i="3" l="1"/>
  <c r="F447" i="3"/>
  <c r="E447" i="3"/>
  <c r="H447" i="3"/>
  <c r="C447" i="3" s="1"/>
  <c r="H448" i="3" l="1" a="1"/>
  <c r="H448" i="3" l="1"/>
  <c r="C448" i="3" s="1"/>
  <c r="E448" i="3"/>
  <c r="F448" i="3"/>
  <c r="D448" i="3"/>
  <c r="H449" i="3" l="1" a="1"/>
  <c r="E449" i="3" l="1"/>
  <c r="H449" i="3"/>
  <c r="C449" i="3" s="1"/>
  <c r="F449" i="3"/>
  <c r="D449" i="3"/>
  <c r="H450" i="3" l="1" a="1"/>
  <c r="F450" i="3" l="1"/>
  <c r="D450" i="3"/>
  <c r="E450" i="3"/>
  <c r="H450" i="3"/>
  <c r="C450" i="3" s="1"/>
  <c r="H451" i="3" l="1" a="1"/>
  <c r="D451" i="3" l="1"/>
  <c r="F451" i="3"/>
  <c r="E451" i="3"/>
  <c r="H451" i="3"/>
  <c r="C451" i="3" s="1"/>
  <c r="H452" i="3" l="1" a="1"/>
  <c r="D452" i="3" l="1"/>
  <c r="E452" i="3"/>
  <c r="H452" i="3"/>
  <c r="C452" i="3" s="1"/>
  <c r="F452" i="3"/>
  <c r="H453" i="3" l="1" a="1"/>
  <c r="D453" i="3" l="1"/>
  <c r="F453" i="3"/>
  <c r="E453" i="3"/>
  <c r="H453" i="3"/>
  <c r="C453" i="3" s="1"/>
  <c r="H454" i="3" l="1" a="1"/>
  <c r="D454" i="3" l="1"/>
  <c r="F454" i="3"/>
  <c r="E454" i="3"/>
  <c r="H454" i="3"/>
  <c r="C454" i="3" s="1"/>
  <c r="H455" i="3" l="1" a="1"/>
  <c r="D455" i="3" l="1"/>
  <c r="F455" i="3"/>
  <c r="E455" i="3"/>
  <c r="H455" i="3"/>
  <c r="C455" i="3" s="1"/>
  <c r="H456" i="3" l="1" a="1"/>
  <c r="D456" i="3" l="1"/>
  <c r="F456" i="3"/>
  <c r="E456" i="3"/>
  <c r="H456" i="3"/>
  <c r="C456" i="3" s="1"/>
  <c r="H457" i="3" l="1" a="1"/>
  <c r="E457" i="3" l="1"/>
  <c r="D457" i="3"/>
  <c r="F457" i="3"/>
  <c r="H457" i="3"/>
  <c r="C457" i="3" s="1"/>
  <c r="H458" i="3" l="1" a="1"/>
  <c r="D458" i="3" l="1"/>
  <c r="F458" i="3"/>
  <c r="E458" i="3"/>
  <c r="H458" i="3"/>
  <c r="C458" i="3" s="1"/>
  <c r="H459" i="3" l="1" a="1"/>
  <c r="D459" i="3" l="1"/>
  <c r="E459" i="3"/>
  <c r="H459" i="3"/>
  <c r="C459" i="3" s="1"/>
  <c r="F459" i="3"/>
  <c r="H460" i="3" l="1" a="1"/>
  <c r="H460" i="3" l="1"/>
  <c r="C460" i="3" s="1"/>
  <c r="F460" i="3"/>
  <c r="D460" i="3"/>
  <c r="E460" i="3"/>
  <c r="H461" i="3" l="1" a="1"/>
  <c r="D461" i="3" l="1"/>
  <c r="E461" i="3"/>
  <c r="H461" i="3"/>
  <c r="C461" i="3" s="1"/>
  <c r="F461" i="3"/>
  <c r="H462" i="3" l="1" a="1"/>
  <c r="E462" i="3" l="1"/>
  <c r="D462" i="3"/>
  <c r="H462" i="3"/>
  <c r="C462" i="3" s="1"/>
  <c r="F462" i="3"/>
  <c r="H463" i="3" l="1" a="1"/>
  <c r="D463" i="3" l="1"/>
  <c r="E463" i="3"/>
  <c r="F463" i="3"/>
  <c r="H463" i="3"/>
  <c r="C463" i="3" s="1"/>
  <c r="H464" i="3" l="1" a="1"/>
  <c r="F464" i="3" l="1"/>
  <c r="D464" i="3"/>
  <c r="H464" i="3"/>
  <c r="C464" i="3" s="1"/>
  <c r="E464" i="3"/>
  <c r="H465" i="3" l="1" a="1"/>
  <c r="D465" i="3" l="1"/>
  <c r="F465" i="3"/>
  <c r="E465" i="3"/>
  <c r="H465" i="3"/>
  <c r="C465" i="3" s="1"/>
  <c r="H466" i="3" l="1" a="1"/>
  <c r="E466" i="3" l="1"/>
  <c r="D466" i="3"/>
  <c r="H466" i="3"/>
  <c r="C466" i="3" s="1"/>
  <c r="F466" i="3"/>
  <c r="H467" i="3" l="1" a="1"/>
  <c r="H467" i="3" l="1"/>
  <c r="C467" i="3" s="1"/>
  <c r="E467" i="3"/>
  <c r="D467" i="3"/>
  <c r="F467" i="3"/>
  <c r="H468" i="3" l="1" a="1"/>
  <c r="D468" i="3" l="1"/>
  <c r="H468" i="3"/>
  <c r="C468" i="3" s="1"/>
  <c r="F468" i="3"/>
  <c r="E468" i="3"/>
  <c r="H469" i="3" l="1" a="1"/>
  <c r="E469" i="3" l="1"/>
  <c r="D469" i="3"/>
  <c r="F469" i="3"/>
  <c r="H469" i="3"/>
  <c r="C469" i="3" s="1"/>
  <c r="H470" i="3" l="1" a="1"/>
  <c r="H470" i="3" l="1"/>
  <c r="C470" i="3" s="1"/>
  <c r="E470" i="3"/>
  <c r="D470" i="3"/>
  <c r="F470" i="3"/>
  <c r="H471" i="3" l="1" a="1"/>
  <c r="D471" i="3" l="1"/>
  <c r="F471" i="3"/>
  <c r="E471" i="3"/>
  <c r="H471" i="3"/>
  <c r="C471" i="3" s="1"/>
  <c r="H472" i="3" l="1" a="1"/>
  <c r="E472" i="3" l="1"/>
  <c r="F472" i="3"/>
  <c r="H472" i="3"/>
  <c r="C472" i="3" s="1"/>
  <c r="D472" i="3"/>
  <c r="H473" i="3" l="1" a="1"/>
  <c r="D473" i="3" l="1"/>
  <c r="H473" i="3"/>
  <c r="C473" i="3" s="1"/>
  <c r="E473" i="3"/>
  <c r="F473" i="3"/>
  <c r="H474" i="3" l="1" a="1"/>
  <c r="H474" i="3" l="1"/>
  <c r="C474" i="3" s="1"/>
  <c r="F474" i="3"/>
  <c r="D474" i="3"/>
  <c r="E474" i="3"/>
  <c r="H475" i="3" l="1" a="1"/>
  <c r="E475" i="3" l="1"/>
  <c r="H475" i="3"/>
  <c r="C475" i="3" s="1"/>
  <c r="D475" i="3"/>
  <c r="F475" i="3"/>
  <c r="H476" i="3" l="1" a="1"/>
  <c r="F476" i="3" l="1"/>
  <c r="D476" i="3"/>
  <c r="H476" i="3"/>
  <c r="C476" i="3" s="1"/>
  <c r="E476" i="3"/>
  <c r="H477" i="3" l="1" a="1"/>
  <c r="H477" i="3" l="1"/>
  <c r="C477" i="3" s="1"/>
  <c r="E477" i="3"/>
  <c r="D477" i="3"/>
  <c r="F477" i="3"/>
  <c r="H478" i="3" l="1" a="1"/>
  <c r="D478" i="3" l="1"/>
  <c r="F478" i="3"/>
  <c r="E478" i="3"/>
  <c r="H478" i="3"/>
  <c r="C478" i="3" s="1"/>
  <c r="H479" i="3" l="1" a="1"/>
  <c r="E479" i="3" l="1"/>
  <c r="H479" i="3"/>
  <c r="C479" i="3" s="1"/>
  <c r="F479" i="3"/>
  <c r="D479" i="3"/>
  <c r="H480" i="3" l="1" a="1"/>
  <c r="D480" i="3" l="1"/>
  <c r="H480" i="3"/>
  <c r="C480" i="3" s="1"/>
  <c r="E480" i="3"/>
  <c r="F480" i="3"/>
  <c r="H481" i="3" l="1" a="1"/>
  <c r="E481" i="3" l="1"/>
  <c r="H481" i="3"/>
  <c r="C481" i="3" s="1"/>
  <c r="D481" i="3"/>
  <c r="F481" i="3"/>
  <c r="H482" i="3" l="1" a="1"/>
  <c r="H482" i="3" l="1"/>
  <c r="C482" i="3" s="1"/>
  <c r="E482" i="3"/>
  <c r="D482" i="3"/>
  <c r="F482" i="3"/>
  <c r="H483" i="3" l="1" a="1"/>
  <c r="H483" i="3" l="1"/>
  <c r="C483" i="3" s="1"/>
  <c r="D483" i="3"/>
  <c r="E483" i="3"/>
  <c r="F483" i="3"/>
  <c r="H484" i="3" l="1" a="1"/>
  <c r="F484" i="3" l="1"/>
  <c r="H484" i="3"/>
  <c r="C484" i="3" s="1"/>
  <c r="E484" i="3"/>
  <c r="D484" i="3"/>
  <c r="H485" i="3" l="1" a="1"/>
  <c r="E485" i="3" l="1"/>
  <c r="D485" i="3"/>
  <c r="H485" i="3"/>
  <c r="C485" i="3" s="1"/>
  <c r="F485" i="3"/>
  <c r="H486" i="3" l="1" a="1"/>
  <c r="H486" i="3" l="1"/>
  <c r="C486" i="3" s="1"/>
  <c r="D486" i="3"/>
  <c r="F486" i="3"/>
  <c r="E486" i="3"/>
  <c r="H487" i="3" l="1" a="1"/>
  <c r="D487" i="3" l="1"/>
  <c r="E487" i="3"/>
  <c r="H487" i="3"/>
  <c r="C487" i="3" s="1"/>
  <c r="F487" i="3"/>
  <c r="H488" i="3" l="1" a="1"/>
  <c r="D488" i="3" l="1"/>
  <c r="H488" i="3"/>
  <c r="C488" i="3" s="1"/>
  <c r="F488" i="3"/>
  <c r="E488" i="3"/>
  <c r="H489" i="3" l="1" a="1"/>
  <c r="E489" i="3" l="1"/>
  <c r="D489" i="3"/>
  <c r="F489" i="3"/>
  <c r="H489" i="3"/>
  <c r="C489" i="3" s="1"/>
  <c r="H490" i="3" l="1" a="1"/>
  <c r="H490" i="3" l="1"/>
  <c r="C490" i="3" s="1"/>
  <c r="D490" i="3"/>
  <c r="F490" i="3"/>
  <c r="E490" i="3"/>
  <c r="H491" i="3" l="1" a="1"/>
  <c r="E491" i="3" l="1"/>
  <c r="D491" i="3"/>
  <c r="H491" i="3"/>
  <c r="C491" i="3" s="1"/>
  <c r="F491" i="3"/>
  <c r="H492" i="3" l="1" a="1"/>
  <c r="D492" i="3" l="1"/>
  <c r="H492" i="3"/>
  <c r="C492" i="3" s="1"/>
  <c r="E492" i="3"/>
  <c r="F492" i="3"/>
  <c r="H493" i="3" l="1" a="1"/>
  <c r="E493" i="3" l="1"/>
  <c r="D493" i="3"/>
  <c r="H493" i="3"/>
  <c r="C493" i="3" s="1"/>
  <c r="F493" i="3"/>
  <c r="H494" i="3" l="1" a="1"/>
  <c r="H494" i="3" l="1"/>
  <c r="C494" i="3" s="1"/>
  <c r="D494" i="3"/>
  <c r="F494" i="3"/>
  <c r="E494" i="3"/>
  <c r="H495" i="3" l="1" a="1"/>
  <c r="F495" i="3" l="1"/>
  <c r="H495" i="3"/>
  <c r="C495" i="3" s="1"/>
  <c r="E495" i="3"/>
  <c r="D495" i="3"/>
  <c r="H496" i="3" l="1" a="1"/>
  <c r="H496" i="3" l="1"/>
  <c r="C496" i="3" s="1"/>
  <c r="D496" i="3"/>
  <c r="E496" i="3"/>
  <c r="F496" i="3"/>
  <c r="H497" i="3" l="1" a="1"/>
  <c r="F497" i="3" l="1"/>
  <c r="E497" i="3"/>
  <c r="D497" i="3"/>
  <c r="H497" i="3"/>
  <c r="C497" i="3" s="1"/>
  <c r="H498" i="3" l="1" a="1"/>
  <c r="F498" i="3" l="1"/>
  <c r="E498" i="3"/>
  <c r="D498" i="3"/>
  <c r="H498" i="3"/>
  <c r="C498" i="3" s="1"/>
  <c r="H499" i="3" l="1" a="1"/>
  <c r="E499" i="3" l="1"/>
  <c r="F499" i="3"/>
  <c r="H499" i="3"/>
  <c r="C499" i="3" s="1"/>
  <c r="D499" i="3"/>
  <c r="H500" i="3" l="1" a="1"/>
  <c r="F500" i="3" l="1"/>
  <c r="H500" i="3"/>
  <c r="C500" i="3" s="1"/>
  <c r="D500" i="3"/>
  <c r="E500" i="3"/>
  <c r="H501" i="3" l="1" a="1"/>
  <c r="H501" i="3" l="1"/>
  <c r="C501" i="3" s="1"/>
  <c r="F501" i="3"/>
  <c r="E501" i="3"/>
  <c r="D501" i="3"/>
  <c r="H502" i="3" l="1" a="1"/>
  <c r="F502" i="3" l="1"/>
  <c r="D502" i="3"/>
  <c r="E502" i="3"/>
  <c r="H502" i="3"/>
  <c r="C502" i="3" s="1"/>
  <c r="H503" i="3" l="1" a="1"/>
  <c r="F503" i="3" l="1"/>
  <c r="E503" i="3"/>
  <c r="H503" i="3"/>
  <c r="C503" i="3" s="1"/>
  <c r="D503" i="3"/>
  <c r="H504" i="3" l="1" a="1"/>
  <c r="F504" i="3" l="1"/>
  <c r="H504" i="3"/>
  <c r="C504" i="3" s="1"/>
  <c r="D504" i="3"/>
  <c r="E504" i="3"/>
  <c r="H505" i="3" l="1" a="1"/>
  <c r="F505" i="3" l="1"/>
  <c r="H505" i="3"/>
  <c r="C505" i="3" s="1"/>
  <c r="D505" i="3"/>
  <c r="E505" i="3"/>
  <c r="H506" i="3" l="1" a="1"/>
  <c r="F506" i="3" l="1"/>
  <c r="E506" i="3"/>
  <c r="D506" i="3"/>
  <c r="H506" i="3"/>
  <c r="C506" i="3" s="1"/>
  <c r="H507" i="3" l="1" a="1"/>
  <c r="H507" i="3" l="1"/>
  <c r="C507" i="3" s="1"/>
  <c r="E507" i="3"/>
  <c r="F507" i="3"/>
  <c r="D507" i="3"/>
  <c r="H508" i="3" l="1" a="1"/>
  <c r="E508" i="3" l="1"/>
  <c r="D508" i="3"/>
  <c r="H508" i="3"/>
  <c r="C508" i="3" s="1"/>
  <c r="F508" i="3"/>
  <c r="H509" i="3" l="1" a="1"/>
  <c r="F509" i="3" l="1"/>
  <c r="E509" i="3"/>
  <c r="D509" i="3"/>
  <c r="H509" i="3"/>
  <c r="C509" i="3" s="1"/>
  <c r="H510" i="3" l="1" a="1"/>
  <c r="F510" i="3" l="1"/>
  <c r="E510" i="3"/>
  <c r="D510" i="3"/>
  <c r="H510" i="3"/>
  <c r="C510" i="3" s="1"/>
  <c r="H511" i="3" l="1" a="1"/>
  <c r="F511" i="3" l="1"/>
  <c r="D511" i="3"/>
  <c r="H511" i="3"/>
  <c r="C511" i="3" s="1"/>
  <c r="E511" i="3"/>
  <c r="H512" i="3" l="1" a="1"/>
  <c r="F512" i="3" l="1"/>
  <c r="E512" i="3"/>
  <c r="D512" i="3"/>
  <c r="H512" i="3"/>
  <c r="C512" i="3" s="1"/>
  <c r="H513" i="3" l="1" a="1"/>
  <c r="F513" i="3" l="1"/>
  <c r="E513" i="3"/>
  <c r="D513" i="3"/>
  <c r="H513" i="3"/>
  <c r="C513" i="3" s="1"/>
  <c r="H514" i="3" l="1" a="1"/>
  <c r="F514" i="3" l="1"/>
  <c r="E514" i="3"/>
  <c r="D514" i="3"/>
  <c r="H514" i="3"/>
  <c r="C514" i="3" s="1"/>
  <c r="H515" i="3" l="1" a="1"/>
  <c r="F515" i="3" l="1"/>
  <c r="D515" i="3"/>
  <c r="H515" i="3"/>
  <c r="C515" i="3" s="1"/>
  <c r="E515" i="3"/>
  <c r="H516" i="3" l="1" a="1"/>
  <c r="E516" i="3" l="1"/>
  <c r="F516" i="3"/>
  <c r="D516" i="3"/>
  <c r="H516" i="3"/>
  <c r="C516" i="3" s="1"/>
  <c r="H517" i="3" l="1" a="1"/>
  <c r="F517" i="3" l="1"/>
  <c r="D517" i="3"/>
  <c r="E517" i="3"/>
  <c r="H517" i="3"/>
  <c r="C517" i="3" s="1"/>
  <c r="H518" i="3" l="1" a="1"/>
  <c r="F518" i="3" l="1"/>
  <c r="E518" i="3"/>
  <c r="H518" i="3"/>
  <c r="C518" i="3" s="1"/>
  <c r="D518" i="3"/>
  <c r="H519" i="3" l="1" a="1"/>
  <c r="F519" i="3" l="1"/>
  <c r="H519" i="3"/>
  <c r="C519" i="3" s="1"/>
  <c r="D519" i="3"/>
  <c r="E519" i="3"/>
  <c r="H520" i="3" l="1" a="1"/>
  <c r="F520" i="3" l="1"/>
  <c r="D520" i="3"/>
  <c r="H520" i="3"/>
  <c r="C520" i="3" s="1"/>
  <c r="E520" i="3"/>
  <c r="H521" i="3" l="1" a="1"/>
  <c r="F521" i="3" l="1"/>
  <c r="E521" i="3"/>
  <c r="D521" i="3"/>
  <c r="H521" i="3"/>
  <c r="C521" i="3" s="1"/>
  <c r="H522" i="3" l="1" a="1"/>
  <c r="F522" i="3" l="1"/>
  <c r="D522" i="3"/>
  <c r="E522" i="3"/>
  <c r="H522" i="3"/>
  <c r="C522" i="3" s="1"/>
  <c r="H523" i="3" l="1" a="1"/>
  <c r="F523" i="3" l="1"/>
  <c r="D523" i="3"/>
  <c r="H523" i="3"/>
  <c r="C523" i="3" s="1"/>
  <c r="E523" i="3"/>
  <c r="H524" i="3" l="1" a="1"/>
  <c r="H524" i="3" l="1"/>
  <c r="C524" i="3" s="1"/>
  <c r="D524" i="3"/>
  <c r="F524" i="3"/>
  <c r="E524" i="3"/>
  <c r="H525" i="3" l="1" a="1"/>
  <c r="D525" i="3" l="1"/>
  <c r="F525" i="3"/>
  <c r="H525" i="3"/>
  <c r="C525" i="3" s="1"/>
  <c r="E525" i="3"/>
  <c r="H526" i="3" l="1" a="1"/>
  <c r="E526" i="3" l="1"/>
  <c r="H526" i="3"/>
  <c r="C526" i="3" s="1"/>
  <c r="D526" i="3"/>
  <c r="F526" i="3"/>
  <c r="H527" i="3" l="1" a="1"/>
  <c r="H527" i="3" l="1"/>
  <c r="C527" i="3" s="1"/>
  <c r="E527" i="3"/>
  <c r="F527" i="3"/>
  <c r="D527" i="3"/>
  <c r="H528" i="3" l="1" a="1"/>
  <c r="E528" i="3" l="1"/>
  <c r="H528" i="3"/>
  <c r="C528" i="3" s="1"/>
  <c r="F528" i="3"/>
  <c r="D528" i="3"/>
  <c r="H529" i="3" l="1" a="1"/>
  <c r="H529" i="3" l="1"/>
  <c r="C529" i="3" s="1"/>
  <c r="D529" i="3"/>
  <c r="F529" i="3"/>
  <c r="E529" i="3"/>
  <c r="H530" i="3" l="1" a="1"/>
  <c r="F530" i="3" l="1"/>
  <c r="E530" i="3"/>
  <c r="H530" i="3"/>
  <c r="C530" i="3" s="1"/>
  <c r="D530" i="3"/>
  <c r="H531" i="3" l="1" a="1"/>
  <c r="F531" i="3" l="1"/>
  <c r="D531" i="3"/>
  <c r="H531" i="3"/>
  <c r="C531" i="3" s="1"/>
  <c r="E531" i="3"/>
  <c r="H532" i="3" l="1" a="1"/>
  <c r="F532" i="3" l="1"/>
  <c r="H532" i="3"/>
  <c r="C532" i="3" s="1"/>
  <c r="E532" i="3"/>
  <c r="D532" i="3"/>
  <c r="H533" i="3" l="1" a="1"/>
  <c r="F533" i="3" l="1"/>
  <c r="H533" i="3"/>
  <c r="C533" i="3" s="1"/>
  <c r="E533" i="3"/>
  <c r="D533" i="3"/>
  <c r="H534" i="3" l="1" a="1"/>
  <c r="D534" i="3" l="1"/>
  <c r="E534" i="3"/>
  <c r="H534" i="3"/>
  <c r="C534" i="3" s="1"/>
  <c r="F534" i="3"/>
  <c r="H535" i="3" l="1" a="1"/>
  <c r="H535" i="3" l="1"/>
  <c r="C535" i="3" s="1"/>
  <c r="E535" i="3"/>
  <c r="F535" i="3"/>
  <c r="D535" i="3"/>
  <c r="H536" i="3" l="1" a="1"/>
  <c r="D536" i="3" l="1"/>
  <c r="E536" i="3"/>
  <c r="F536" i="3"/>
  <c r="H536" i="3"/>
  <c r="C536" i="3" s="1"/>
  <c r="H537" i="3" l="1" a="1"/>
  <c r="H537" i="3" l="1"/>
  <c r="C537" i="3" s="1"/>
  <c r="F537" i="3"/>
  <c r="D537" i="3"/>
  <c r="E537" i="3"/>
  <c r="H538" i="3" l="1" a="1"/>
  <c r="F538" i="3" l="1"/>
  <c r="D538" i="3"/>
  <c r="H538" i="3"/>
  <c r="C538" i="3" s="1"/>
  <c r="E538" i="3"/>
  <c r="H539" i="3" l="1" a="1"/>
  <c r="F539" i="3" l="1"/>
  <c r="H539" i="3"/>
  <c r="C539" i="3" s="1"/>
  <c r="D539" i="3"/>
  <c r="E539" i="3"/>
  <c r="H540" i="3" l="1" a="1"/>
  <c r="F540" i="3" l="1"/>
  <c r="H540" i="3"/>
  <c r="C540" i="3" s="1"/>
  <c r="D540" i="3"/>
  <c r="E540" i="3"/>
  <c r="H541" i="3" l="1" a="1"/>
  <c r="F541" i="3" l="1"/>
  <c r="D541" i="3"/>
  <c r="H541" i="3"/>
  <c r="C541" i="3" s="1"/>
  <c r="E541" i="3"/>
  <c r="H542" i="3" l="1" a="1"/>
  <c r="F542" i="3" l="1"/>
  <c r="H542" i="3"/>
  <c r="C542" i="3" s="1"/>
  <c r="E542" i="3"/>
  <c r="D542" i="3"/>
  <c r="H543" i="3" l="1" a="1"/>
  <c r="H543" i="3" l="1"/>
  <c r="C543" i="3" s="1"/>
  <c r="F543" i="3"/>
  <c r="D543" i="3"/>
  <c r="E543" i="3"/>
  <c r="H544" i="3" l="1" a="1"/>
  <c r="F544" i="3" l="1"/>
  <c r="D544" i="3"/>
  <c r="H544" i="3"/>
  <c r="C544" i="3" s="1"/>
  <c r="E544" i="3"/>
  <c r="H545" i="3" l="1" a="1"/>
  <c r="D545" i="3" l="1"/>
  <c r="H545" i="3"/>
  <c r="C545" i="3" s="1"/>
  <c r="F545" i="3"/>
  <c r="E545" i="3"/>
  <c r="H546" i="3" l="1" a="1"/>
  <c r="E546" i="3" l="1"/>
  <c r="F546" i="3"/>
  <c r="H546" i="3"/>
  <c r="C546" i="3" s="1"/>
  <c r="D546" i="3"/>
  <c r="H547" i="3" l="1" a="1"/>
  <c r="F547" i="3" l="1"/>
  <c r="E547" i="3"/>
  <c r="H547" i="3"/>
  <c r="C547" i="3" s="1"/>
  <c r="D547" i="3"/>
  <c r="H548" i="3" l="1" a="1"/>
  <c r="F548" i="3" l="1"/>
  <c r="D548" i="3"/>
  <c r="H548" i="3"/>
  <c r="C548" i="3" s="1"/>
  <c r="E548" i="3"/>
  <c r="H549" i="3" l="1" a="1"/>
  <c r="F549" i="3" l="1"/>
  <c r="H549" i="3"/>
  <c r="C549" i="3" s="1"/>
  <c r="E549" i="3"/>
  <c r="D549" i="3"/>
  <c r="H550" i="3" l="1" a="1"/>
  <c r="F550" i="3" l="1"/>
  <c r="D550" i="3"/>
  <c r="E550" i="3"/>
  <c r="H550" i="3"/>
  <c r="C550" i="3" s="1"/>
  <c r="H551" i="3" l="1" a="1"/>
  <c r="F551" i="3" l="1"/>
  <c r="D551" i="3"/>
  <c r="E551" i="3"/>
  <c r="H551" i="3"/>
  <c r="C551" i="3" s="1"/>
  <c r="H552" i="3" l="1" a="1"/>
  <c r="E552" i="3" l="1"/>
  <c r="D552" i="3"/>
  <c r="H552" i="3"/>
  <c r="C552" i="3" s="1"/>
  <c r="F552" i="3"/>
  <c r="H553" i="3" l="1" a="1"/>
  <c r="H553" i="3" l="1"/>
  <c r="C553" i="3" s="1"/>
  <c r="F553" i="3"/>
  <c r="E553" i="3"/>
  <c r="D553" i="3"/>
  <c r="H554" i="3" l="1" a="1"/>
  <c r="E554" i="3" l="1"/>
  <c r="D554" i="3"/>
  <c r="H554" i="3"/>
  <c r="C554" i="3" s="1"/>
  <c r="F554" i="3"/>
  <c r="H555" i="3" l="1" a="1"/>
  <c r="F555" i="3" l="1"/>
  <c r="H555" i="3"/>
  <c r="C555" i="3" s="1"/>
  <c r="D555" i="3"/>
  <c r="E555" i="3"/>
  <c r="H556" i="3" l="1" a="1"/>
  <c r="E556" i="3" l="1"/>
  <c r="D556" i="3"/>
  <c r="F556" i="3"/>
  <c r="H556" i="3"/>
  <c r="C556" i="3" s="1"/>
  <c r="H557" i="3" l="1" a="1"/>
  <c r="E557" i="3" l="1"/>
  <c r="D557" i="3"/>
  <c r="F557" i="3"/>
  <c r="H557" i="3"/>
  <c r="C557" i="3" s="1"/>
  <c r="H558" i="3" l="1" a="1"/>
  <c r="F558" i="3" l="1"/>
  <c r="E558" i="3"/>
  <c r="H558" i="3"/>
  <c r="C558" i="3" s="1"/>
  <c r="D558" i="3"/>
  <c r="H559" i="3" l="1" a="1"/>
  <c r="E559" i="3" l="1"/>
  <c r="F559" i="3"/>
  <c r="H559" i="3"/>
  <c r="C559" i="3" s="1"/>
  <c r="D559" i="3"/>
  <c r="H560" i="3" l="1" a="1"/>
  <c r="F560" i="3" l="1"/>
  <c r="D560" i="3"/>
  <c r="H560" i="3"/>
  <c r="C560" i="3" s="1"/>
  <c r="E560" i="3"/>
  <c r="H561" i="3" l="1" a="1"/>
  <c r="F561" i="3" l="1"/>
  <c r="H561" i="3"/>
  <c r="C561" i="3" s="1"/>
  <c r="D561" i="3"/>
  <c r="E561" i="3"/>
  <c r="H562" i="3" l="1" a="1"/>
  <c r="F562" i="3" l="1"/>
  <c r="H562" i="3"/>
  <c r="C562" i="3" s="1"/>
  <c r="E562" i="3"/>
  <c r="D562" i="3"/>
  <c r="H563" i="3" l="1" a="1"/>
  <c r="E563" i="3" l="1"/>
  <c r="F563" i="3"/>
  <c r="D563" i="3"/>
  <c r="H563" i="3"/>
  <c r="C563" i="3" s="1"/>
  <c r="H564" i="3" l="1" a="1"/>
  <c r="H564" i="3" l="1"/>
  <c r="C564" i="3" s="1"/>
  <c r="F564" i="3"/>
  <c r="E564" i="3"/>
  <c r="D564" i="3"/>
  <c r="H565" i="3" l="1" a="1"/>
  <c r="H565" i="3" l="1"/>
  <c r="C565" i="3" s="1"/>
  <c r="D565" i="3"/>
  <c r="F565" i="3"/>
  <c r="E565" i="3"/>
  <c r="H566" i="3" l="1" a="1"/>
  <c r="E566" i="3" l="1"/>
  <c r="F566" i="3"/>
  <c r="H566" i="3"/>
  <c r="C566" i="3" s="1"/>
  <c r="D566" i="3"/>
  <c r="H567" i="3" l="1" a="1"/>
  <c r="F567" i="3" l="1"/>
  <c r="D567" i="3"/>
  <c r="E567" i="3"/>
  <c r="H567" i="3"/>
  <c r="C567" i="3" s="1"/>
  <c r="H568" i="3" l="1" a="1"/>
  <c r="F568" i="3" l="1"/>
  <c r="E568" i="3"/>
  <c r="H568" i="3"/>
  <c r="C568" i="3" s="1"/>
  <c r="D568" i="3"/>
  <c r="H569" i="3" l="1" a="1"/>
  <c r="F569" i="3" l="1"/>
  <c r="E569" i="3"/>
  <c r="D569" i="3"/>
  <c r="H569" i="3"/>
  <c r="C569" i="3" s="1"/>
  <c r="H570" i="3" l="1" a="1"/>
  <c r="F570" i="3" l="1"/>
  <c r="D570" i="3"/>
  <c r="E570" i="3"/>
  <c r="H570" i="3"/>
  <c r="C570" i="3" s="1"/>
  <c r="H571" i="3" l="1" a="1"/>
  <c r="F571" i="3" l="1"/>
  <c r="H571" i="3"/>
  <c r="C571" i="3" s="1"/>
  <c r="E571" i="3"/>
  <c r="D571" i="3"/>
  <c r="H572" i="3" l="1" a="1"/>
  <c r="F572" i="3" l="1"/>
  <c r="E572" i="3"/>
  <c r="H572" i="3"/>
  <c r="C572" i="3" s="1"/>
  <c r="D572" i="3"/>
  <c r="H573" i="3" l="1" a="1"/>
  <c r="E573" i="3" l="1"/>
  <c r="F573" i="3"/>
  <c r="D573" i="3"/>
  <c r="H573" i="3"/>
  <c r="C573" i="3" s="1"/>
  <c r="H574" i="3" l="1" a="1"/>
  <c r="F574" i="3" l="1"/>
  <c r="D574" i="3"/>
  <c r="H574" i="3"/>
  <c r="C574" i="3" s="1"/>
  <c r="E574" i="3"/>
  <c r="H575" i="3" l="1" a="1"/>
  <c r="F575" i="3" l="1"/>
  <c r="H575" i="3"/>
  <c r="C575" i="3" s="1"/>
  <c r="E575" i="3"/>
  <c r="D575" i="3"/>
  <c r="H576" i="3" l="1" a="1"/>
  <c r="F576" i="3" l="1"/>
  <c r="D576" i="3"/>
  <c r="H576" i="3"/>
  <c r="C576" i="3" s="1"/>
  <c r="E576" i="3"/>
  <c r="H577" i="3" l="1" a="1"/>
  <c r="F577" i="3" l="1"/>
  <c r="E577" i="3"/>
  <c r="H577" i="3"/>
  <c r="C577" i="3" s="1"/>
  <c r="D577" i="3"/>
  <c r="H578" i="3" l="1" a="1"/>
  <c r="H578" i="3" l="1"/>
  <c r="C578" i="3" s="1"/>
  <c r="D578" i="3"/>
  <c r="F578" i="3"/>
  <c r="E578" i="3"/>
  <c r="H579" i="3" l="1" a="1"/>
  <c r="F579" i="3" l="1"/>
  <c r="H579" i="3"/>
  <c r="C579" i="3" s="1"/>
  <c r="D579" i="3"/>
  <c r="E579" i="3"/>
  <c r="H580" i="3" l="1" a="1"/>
  <c r="D580" i="3" l="1"/>
  <c r="F580" i="3"/>
  <c r="H580" i="3"/>
  <c r="C580" i="3" s="1"/>
  <c r="E580" i="3"/>
  <c r="H581" i="3" l="1" a="1"/>
  <c r="F581" i="3" l="1"/>
  <c r="E581" i="3"/>
  <c r="H581" i="3"/>
  <c r="C581" i="3" s="1"/>
  <c r="D581" i="3"/>
  <c r="H582" i="3" l="1" a="1"/>
  <c r="F582" i="3" l="1"/>
  <c r="H582" i="3"/>
  <c r="C582" i="3" s="1"/>
  <c r="D582" i="3"/>
  <c r="E582" i="3"/>
  <c r="H583" i="3" l="1" a="1"/>
  <c r="F583" i="3" l="1"/>
  <c r="H583" i="3"/>
  <c r="C583" i="3" s="1"/>
  <c r="D583" i="3"/>
  <c r="E583" i="3"/>
  <c r="H584" i="3" l="1" a="1"/>
  <c r="F584" i="3" l="1"/>
  <c r="H584" i="3"/>
  <c r="C584" i="3" s="1"/>
  <c r="E584" i="3"/>
  <c r="D584" i="3"/>
  <c r="H585" i="3" l="1" a="1"/>
  <c r="F585" i="3" l="1"/>
  <c r="D585" i="3"/>
  <c r="H585" i="3"/>
  <c r="C585" i="3" s="1"/>
  <c r="E585" i="3"/>
  <c r="H586" i="3" l="1" a="1"/>
  <c r="F586" i="3" l="1"/>
  <c r="H586" i="3"/>
  <c r="C586" i="3" s="1"/>
  <c r="E586" i="3"/>
  <c r="D586" i="3"/>
  <c r="H587" i="3" l="1" a="1"/>
  <c r="F587" i="3" l="1"/>
  <c r="H587" i="3"/>
  <c r="C587" i="3" s="1"/>
  <c r="E587" i="3"/>
  <c r="D587" i="3"/>
  <c r="H588" i="3" l="1" a="1"/>
  <c r="F588" i="3" l="1"/>
  <c r="E588" i="3"/>
  <c r="H588" i="3"/>
  <c r="C588" i="3" s="1"/>
  <c r="D588" i="3"/>
  <c r="H589" i="3" l="1" a="1"/>
  <c r="F589" i="3" l="1"/>
  <c r="H589" i="3"/>
  <c r="C589" i="3" s="1"/>
  <c r="D589" i="3"/>
  <c r="E589" i="3"/>
  <c r="H590" i="3" l="1" a="1"/>
  <c r="F590" i="3" l="1"/>
  <c r="H590" i="3"/>
  <c r="C590" i="3" s="1"/>
  <c r="E590" i="3"/>
  <c r="D590" i="3"/>
  <c r="H591" i="3" l="1" a="1"/>
  <c r="F591" i="3" l="1"/>
  <c r="H591" i="3"/>
  <c r="C591" i="3" s="1"/>
  <c r="E591" i="3"/>
  <c r="D591" i="3"/>
  <c r="H592" i="3" l="1" a="1"/>
  <c r="F592" i="3" l="1"/>
  <c r="H592" i="3"/>
  <c r="C592" i="3" s="1"/>
  <c r="D592" i="3"/>
  <c r="E592" i="3"/>
  <c r="H593" i="3" l="1" a="1"/>
  <c r="F593" i="3" l="1"/>
  <c r="H593" i="3"/>
  <c r="C593" i="3" s="1"/>
  <c r="D593" i="3"/>
  <c r="E593" i="3"/>
  <c r="H594" i="3" l="1" a="1"/>
  <c r="F594" i="3" l="1"/>
  <c r="D594" i="3"/>
  <c r="H594" i="3"/>
  <c r="C594" i="3" s="1"/>
  <c r="E594" i="3"/>
  <c r="H595" i="3" l="1" a="1"/>
  <c r="F595" i="3" l="1"/>
  <c r="E595" i="3"/>
  <c r="D595" i="3"/>
  <c r="H595" i="3"/>
  <c r="C595" i="3" s="1"/>
  <c r="H596" i="3" l="1" a="1"/>
  <c r="H596" i="3" l="1"/>
  <c r="C596" i="3" s="1"/>
  <c r="F596" i="3"/>
  <c r="E596" i="3"/>
  <c r="D596" i="3"/>
  <c r="H597" i="3" l="1" a="1"/>
  <c r="F597" i="3" l="1"/>
  <c r="E597" i="3"/>
  <c r="D597" i="3"/>
  <c r="H597" i="3"/>
  <c r="C597" i="3" s="1"/>
  <c r="H598" i="3" l="1" a="1"/>
  <c r="F598" i="3" l="1"/>
  <c r="D598" i="3"/>
  <c r="E598" i="3"/>
  <c r="H598" i="3"/>
  <c r="C598" i="3" s="1"/>
  <c r="H599" i="3" l="1" a="1"/>
  <c r="H599" i="3" l="1"/>
  <c r="C599" i="3" s="1"/>
  <c r="D599" i="3"/>
  <c r="E599" i="3"/>
  <c r="F599" i="3"/>
  <c r="H600" i="3" l="1" a="1"/>
  <c r="F600" i="3" l="1"/>
  <c r="D600" i="3"/>
  <c r="E600" i="3"/>
  <c r="H600" i="3"/>
  <c r="C600" i="3" s="1"/>
  <c r="H601" i="3" l="1" a="1"/>
  <c r="F601" i="3" l="1"/>
  <c r="H601" i="3"/>
  <c r="C601" i="3" s="1"/>
  <c r="E601" i="3"/>
  <c r="D601" i="3"/>
  <c r="H602" i="3" l="1" a="1"/>
  <c r="F602" i="3" l="1"/>
  <c r="E602" i="3"/>
  <c r="D602" i="3"/>
  <c r="H602" i="3"/>
  <c r="C602" i="3" s="1"/>
  <c r="H603" i="3" l="1" a="1"/>
  <c r="F603" i="3" l="1"/>
  <c r="H603" i="3"/>
  <c r="C603" i="3" s="1"/>
  <c r="D603" i="3"/>
  <c r="E603" i="3"/>
  <c r="H604" i="3" l="1" a="1"/>
  <c r="F604" i="3" l="1"/>
  <c r="H604" i="3"/>
  <c r="C604" i="3" s="1"/>
  <c r="D604" i="3"/>
  <c r="E604" i="3"/>
  <c r="H605" i="3" l="1" a="1"/>
  <c r="H605" i="3" l="1"/>
  <c r="C605" i="3" s="1"/>
  <c r="E605" i="3"/>
  <c r="D605" i="3"/>
  <c r="F605" i="3"/>
  <c r="H606" i="3" l="1" a="1"/>
  <c r="E606" i="3" l="1"/>
  <c r="F606" i="3"/>
  <c r="D606" i="3"/>
  <c r="H606" i="3"/>
  <c r="C606" i="3" s="1"/>
  <c r="H607" i="3" l="1" a="1"/>
  <c r="H607" i="3" l="1"/>
  <c r="C607" i="3" s="1"/>
  <c r="E607" i="3"/>
  <c r="F607" i="3"/>
  <c r="D607" i="3"/>
  <c r="H608" i="3" l="1" a="1"/>
  <c r="E608" i="3" l="1"/>
  <c r="D608" i="3"/>
  <c r="F608" i="3"/>
  <c r="H608" i="3"/>
  <c r="C608" i="3" s="1"/>
  <c r="H609" i="3" l="1" a="1"/>
  <c r="E609" i="3" l="1"/>
  <c r="D609" i="3"/>
  <c r="F609" i="3"/>
  <c r="H609" i="3"/>
  <c r="C609" i="3" s="1"/>
  <c r="H610" i="3" l="1" a="1"/>
  <c r="H610" i="3" l="1"/>
  <c r="C610" i="3" s="1"/>
  <c r="D610" i="3"/>
  <c r="F610" i="3"/>
  <c r="E610" i="3"/>
  <c r="H611" i="3" l="1" a="1"/>
  <c r="H611" i="3" l="1"/>
  <c r="C611" i="3" s="1"/>
  <c r="D611" i="3"/>
  <c r="F611" i="3"/>
  <c r="E611" i="3"/>
  <c r="H612" i="3" l="1" a="1"/>
  <c r="E612" i="3" l="1"/>
  <c r="H612" i="3"/>
  <c r="C612" i="3" s="1"/>
  <c r="F612" i="3"/>
  <c r="D612" i="3"/>
  <c r="H613" i="3" l="1" a="1"/>
  <c r="H613" i="3" l="1"/>
  <c r="C613" i="3" s="1"/>
  <c r="D613" i="3"/>
  <c r="F613" i="3"/>
  <c r="E613" i="3"/>
  <c r="H614" i="3" l="1" a="1"/>
  <c r="D614" i="3" l="1"/>
  <c r="F614" i="3"/>
  <c r="H614" i="3"/>
  <c r="C614" i="3" s="1"/>
  <c r="E614" i="3"/>
  <c r="H615" i="3" l="1" a="1"/>
  <c r="D615" i="3" l="1"/>
  <c r="E615" i="3"/>
  <c r="F615" i="3"/>
  <c r="H615" i="3"/>
  <c r="C615" i="3" s="1"/>
  <c r="H616" i="3" l="1" a="1"/>
  <c r="D616" i="3" l="1"/>
  <c r="E616" i="3"/>
  <c r="F616" i="3"/>
  <c r="H616" i="3"/>
  <c r="C616" i="3" s="1"/>
  <c r="H617" i="3" l="1" a="1"/>
  <c r="D617" i="3" l="1"/>
  <c r="E617" i="3"/>
  <c r="F617" i="3"/>
  <c r="H617" i="3"/>
  <c r="C617" i="3" s="1"/>
  <c r="H618" i="3" l="1" a="1"/>
  <c r="F618" i="3" l="1"/>
  <c r="E618" i="3"/>
  <c r="H618" i="3"/>
  <c r="C618" i="3" s="1"/>
  <c r="D618" i="3"/>
  <c r="H619" i="3" l="1" a="1"/>
  <c r="F619" i="3" l="1"/>
  <c r="H619" i="3"/>
  <c r="C619" i="3" s="1"/>
  <c r="E619" i="3"/>
  <c r="D619" i="3"/>
  <c r="H620" i="3" l="1" a="1"/>
  <c r="F620" i="3" l="1"/>
  <c r="H620" i="3"/>
  <c r="C620" i="3" s="1"/>
  <c r="E620" i="3"/>
  <c r="D620" i="3"/>
  <c r="H621" i="3" l="1" a="1"/>
  <c r="F621" i="3" l="1"/>
  <c r="H621" i="3"/>
  <c r="C621" i="3" s="1"/>
  <c r="D621" i="3"/>
  <c r="E621" i="3"/>
  <c r="H622" i="3" l="1" a="1"/>
  <c r="H622" i="3" l="1"/>
  <c r="C622" i="3" s="1"/>
  <c r="E622" i="3"/>
  <c r="F622" i="3"/>
  <c r="D622" i="3"/>
  <c r="H623" i="3" l="1" a="1"/>
  <c r="D623" i="3" l="1"/>
  <c r="E623" i="3"/>
  <c r="H623" i="3"/>
  <c r="C623" i="3" s="1"/>
  <c r="F623" i="3"/>
  <c r="H624" i="3" l="1" a="1"/>
  <c r="F624" i="3" l="1"/>
  <c r="D624" i="3"/>
  <c r="H624" i="3"/>
  <c r="C624" i="3" s="1"/>
  <c r="E624" i="3"/>
  <c r="H625" i="3" l="1" a="1"/>
  <c r="F625" i="3" l="1"/>
  <c r="D625" i="3"/>
  <c r="H625" i="3"/>
  <c r="C625" i="3" s="1"/>
  <c r="E625" i="3"/>
  <c r="H626" i="3" l="1" a="1"/>
  <c r="F626" i="3" l="1"/>
  <c r="H626" i="3"/>
  <c r="C626" i="3" s="1"/>
  <c r="D626" i="3"/>
  <c r="E626" i="3"/>
  <c r="H627" i="3" l="1" a="1"/>
  <c r="E627" i="3" l="1"/>
  <c r="F627" i="3"/>
  <c r="H627" i="3"/>
  <c r="C627" i="3" s="1"/>
  <c r="D627" i="3"/>
  <c r="H628" i="3" l="1" a="1"/>
  <c r="H628" i="3" l="1"/>
  <c r="C628" i="3" s="1"/>
  <c r="E628" i="3"/>
  <c r="F628" i="3"/>
  <c r="D628" i="3"/>
  <c r="H629" i="3" l="1" a="1"/>
  <c r="D629" i="3" l="1"/>
  <c r="E629" i="3"/>
  <c r="F629" i="3"/>
  <c r="H629" i="3"/>
  <c r="C629" i="3" s="1"/>
  <c r="H630" i="3" l="1" a="1"/>
  <c r="D630" i="3" l="1"/>
  <c r="E630" i="3"/>
  <c r="F630" i="3"/>
  <c r="H630" i="3"/>
  <c r="C630" i="3" s="1"/>
  <c r="H631" i="3" l="1" a="1"/>
  <c r="H631" i="3" l="1"/>
  <c r="C631" i="3" s="1"/>
  <c r="E631" i="3"/>
  <c r="F631" i="3"/>
  <c r="D631" i="3"/>
  <c r="H632" i="3" l="1" a="1"/>
  <c r="E632" i="3" l="1"/>
  <c r="F632" i="3"/>
  <c r="H632" i="3"/>
  <c r="C632" i="3" s="1"/>
  <c r="D632" i="3"/>
  <c r="H633" i="3" l="1" a="1"/>
  <c r="F633" i="3" l="1"/>
  <c r="D633" i="3"/>
  <c r="H633" i="3"/>
  <c r="C633" i="3" s="1"/>
  <c r="E633" i="3"/>
  <c r="H634" i="3" l="1" a="1"/>
  <c r="F634" i="3" l="1"/>
  <c r="D634" i="3"/>
  <c r="H634" i="3"/>
  <c r="C634" i="3" s="1"/>
  <c r="E634" i="3"/>
  <c r="H635" i="3" l="1" a="1"/>
  <c r="D635" i="3" l="1"/>
  <c r="F635" i="3"/>
  <c r="H635" i="3"/>
  <c r="C635" i="3" s="1"/>
  <c r="E635" i="3"/>
  <c r="H636" i="3" l="1" a="1"/>
  <c r="H636" i="3" l="1"/>
  <c r="C636" i="3" s="1"/>
  <c r="E636" i="3"/>
  <c r="F636" i="3"/>
  <c r="D636" i="3"/>
  <c r="H637" i="3" l="1" a="1"/>
  <c r="H637" i="3" l="1"/>
  <c r="C637" i="3" s="1"/>
  <c r="D637" i="3"/>
  <c r="F637" i="3"/>
  <c r="E637" i="3"/>
  <c r="H638" i="3" l="1" a="1"/>
  <c r="H638" i="3" l="1"/>
  <c r="C638" i="3" s="1"/>
  <c r="D638" i="3"/>
  <c r="F638" i="3"/>
  <c r="E638" i="3"/>
  <c r="H639" i="3" l="1" a="1"/>
  <c r="F639" i="3" l="1"/>
  <c r="H639" i="3"/>
  <c r="C639" i="3" s="1"/>
  <c r="D639" i="3"/>
  <c r="E639" i="3"/>
  <c r="H640" i="3" l="1" a="1"/>
  <c r="H640" i="3" l="1"/>
  <c r="C640" i="3" s="1"/>
  <c r="E640" i="3"/>
  <c r="F640" i="3"/>
  <c r="D640" i="3"/>
  <c r="H641" i="3" l="1" a="1"/>
  <c r="F641" i="3" l="1"/>
  <c r="E641" i="3"/>
  <c r="H641" i="3"/>
  <c r="C641" i="3" s="1"/>
  <c r="D641" i="3"/>
  <c r="H642" i="3" l="1" a="1"/>
  <c r="H642" i="3" l="1"/>
  <c r="C642" i="3" s="1"/>
  <c r="F642" i="3"/>
  <c r="D642" i="3"/>
  <c r="E642" i="3"/>
  <c r="H643" i="3" l="1" a="1"/>
  <c r="D643" i="3" l="1"/>
  <c r="F643" i="3"/>
  <c r="H643" i="3"/>
  <c r="C643" i="3" s="1"/>
  <c r="E643" i="3"/>
  <c r="H644" i="3" l="1" a="1"/>
  <c r="D644" i="3" l="1"/>
  <c r="F644" i="3"/>
  <c r="H644" i="3"/>
  <c r="C644" i="3" s="1"/>
  <c r="E644" i="3"/>
  <c r="H645" i="3" l="1" a="1"/>
  <c r="H645" i="3" l="1"/>
  <c r="C645" i="3" s="1"/>
  <c r="E645" i="3"/>
  <c r="F645" i="3"/>
  <c r="D645" i="3"/>
  <c r="H646" i="3" l="1" a="1"/>
  <c r="H646" i="3" l="1"/>
  <c r="C646" i="3" s="1"/>
  <c r="E646" i="3"/>
  <c r="F646" i="3"/>
  <c r="D646" i="3"/>
  <c r="H647" i="3" l="1" a="1"/>
  <c r="D647" i="3" l="1"/>
  <c r="E647" i="3"/>
  <c r="F647" i="3"/>
  <c r="H647" i="3"/>
  <c r="C647" i="3" s="1"/>
  <c r="H648" i="3" l="1" a="1"/>
  <c r="H648" i="3" l="1"/>
  <c r="C648" i="3" s="1"/>
  <c r="F648" i="3"/>
  <c r="D648" i="3"/>
  <c r="E648" i="3"/>
  <c r="H649" i="3" l="1" a="1"/>
  <c r="E649" i="3" l="1"/>
  <c r="F649" i="3"/>
  <c r="H649" i="3"/>
  <c r="C649" i="3" s="1"/>
  <c r="D649" i="3"/>
  <c r="H650" i="3" l="1" a="1"/>
  <c r="E650" i="3" l="1"/>
  <c r="F650" i="3"/>
  <c r="H650" i="3"/>
  <c r="C650" i="3" s="1"/>
  <c r="D650" i="3"/>
  <c r="H651" i="3" l="1" a="1"/>
  <c r="H651" i="3" l="1"/>
  <c r="C651" i="3" s="1"/>
  <c r="D651" i="3"/>
  <c r="F651" i="3"/>
  <c r="E651" i="3"/>
  <c r="H652" i="3" l="1" a="1"/>
  <c r="E652" i="3" l="1"/>
  <c r="F652" i="3"/>
  <c r="H652" i="3"/>
  <c r="C652" i="3" s="1"/>
  <c r="D652" i="3"/>
  <c r="H653" i="3" l="1" a="1"/>
  <c r="F653" i="3" l="1"/>
  <c r="H653" i="3"/>
  <c r="C653" i="3" s="1"/>
  <c r="D653" i="3"/>
  <c r="E653" i="3"/>
  <c r="H654" i="3" l="1" a="1"/>
  <c r="H654" i="3" l="1"/>
  <c r="C654" i="3" s="1"/>
  <c r="F654" i="3"/>
  <c r="D654" i="3"/>
  <c r="E654" i="3"/>
  <c r="H655" i="3" l="1" a="1"/>
  <c r="D655" i="3" l="1"/>
  <c r="F655" i="3"/>
  <c r="H655" i="3"/>
  <c r="C655" i="3" s="1"/>
  <c r="E655" i="3"/>
  <c r="H656" i="3" l="1" a="1"/>
  <c r="H656" i="3" l="1"/>
  <c r="C656" i="3" s="1"/>
  <c r="E656" i="3"/>
  <c r="F656" i="3"/>
  <c r="D656" i="3"/>
  <c r="H657" i="3" l="1" a="1"/>
  <c r="E657" i="3" l="1"/>
  <c r="F657" i="3"/>
  <c r="H657" i="3"/>
  <c r="C657" i="3" s="1"/>
  <c r="D657" i="3"/>
  <c r="H658" i="3" l="1" a="1"/>
  <c r="E658" i="3" l="1"/>
  <c r="F658" i="3"/>
  <c r="D658" i="3"/>
  <c r="H658" i="3"/>
  <c r="C658" i="3" s="1"/>
  <c r="H659" i="3" l="1" a="1"/>
  <c r="F659" i="3" l="1"/>
  <c r="E659" i="3"/>
  <c r="H659" i="3"/>
  <c r="C659" i="3" s="1"/>
  <c r="D659" i="3"/>
  <c r="H660" i="3" l="1" a="1"/>
  <c r="E660" i="3" l="1"/>
  <c r="F660" i="3"/>
  <c r="H660" i="3"/>
  <c r="C660" i="3" s="1"/>
  <c r="D660" i="3"/>
  <c r="H661" i="3" l="1" a="1"/>
  <c r="H661" i="3" l="1"/>
  <c r="C661" i="3" s="1"/>
  <c r="D661" i="3"/>
  <c r="F661" i="3"/>
  <c r="E661" i="3"/>
  <c r="H662" i="3" l="1" a="1"/>
  <c r="E662" i="3" l="1"/>
  <c r="F662" i="3"/>
  <c r="D662" i="3"/>
  <c r="H662" i="3"/>
  <c r="C662" i="3" s="1"/>
  <c r="H663" i="3" l="1" a="1"/>
  <c r="H663" i="3" l="1"/>
  <c r="C663" i="3" s="1"/>
  <c r="D663" i="3"/>
  <c r="F663" i="3"/>
  <c r="E663" i="3"/>
  <c r="H664" i="3" l="1" a="1"/>
  <c r="H664" i="3" l="1"/>
  <c r="C664" i="3" s="1"/>
  <c r="E664" i="3"/>
  <c r="F664" i="3"/>
  <c r="D664" i="3"/>
  <c r="H665" i="3" l="1" a="1"/>
  <c r="F665" i="3" l="1"/>
  <c r="H665" i="3"/>
  <c r="C665" i="3" s="1"/>
  <c r="E665" i="3"/>
  <c r="D665" i="3"/>
  <c r="H666" i="3" l="1" a="1"/>
  <c r="E666" i="3" l="1"/>
  <c r="F666" i="3"/>
  <c r="H666" i="3"/>
  <c r="C666" i="3" s="1"/>
  <c r="D666" i="3"/>
  <c r="H667" i="3" l="1" a="1"/>
  <c r="E667" i="3" l="1"/>
  <c r="F667" i="3"/>
  <c r="H667" i="3"/>
  <c r="C667" i="3" s="1"/>
  <c r="D667" i="3"/>
  <c r="H668" i="3" l="1" a="1"/>
  <c r="F668" i="3" l="1"/>
  <c r="D668" i="3"/>
  <c r="H668" i="3"/>
  <c r="C668" i="3" s="1"/>
  <c r="E668" i="3"/>
  <c r="H669" i="3" l="1" a="1"/>
  <c r="F669" i="3" l="1"/>
  <c r="D669" i="3"/>
  <c r="H669" i="3"/>
  <c r="C669" i="3" s="1"/>
  <c r="E669" i="3"/>
  <c r="H670" i="3" l="1" a="1"/>
  <c r="F670" i="3" l="1"/>
  <c r="D670" i="3"/>
  <c r="H670" i="3"/>
  <c r="C670" i="3" s="1"/>
  <c r="E670" i="3"/>
  <c r="H671" i="3" l="1" a="1"/>
  <c r="F671" i="3" l="1"/>
  <c r="E671" i="3"/>
  <c r="D671" i="3"/>
  <c r="H671" i="3"/>
  <c r="C671" i="3" s="1"/>
  <c r="H672" i="3" l="1" a="1"/>
  <c r="F672" i="3" l="1"/>
  <c r="E672" i="3"/>
  <c r="H672" i="3"/>
  <c r="C672" i="3" s="1"/>
  <c r="D672" i="3"/>
  <c r="H673" i="3" l="1" a="1"/>
  <c r="D673" i="3" l="1"/>
  <c r="H673" i="3"/>
  <c r="C673" i="3" s="1"/>
  <c r="F673" i="3"/>
  <c r="E673" i="3"/>
  <c r="H674" i="3" l="1" a="1"/>
  <c r="E674" i="3" l="1"/>
  <c r="H674" i="3"/>
  <c r="C674" i="3" s="1"/>
  <c r="F674" i="3"/>
  <c r="D674" i="3"/>
  <c r="H675" i="3" l="1" a="1"/>
  <c r="F675" i="3" l="1"/>
  <c r="E675" i="3"/>
  <c r="H675" i="3"/>
  <c r="C675" i="3" s="1"/>
  <c r="D675" i="3"/>
  <c r="H676" i="3" l="1" a="1"/>
  <c r="F676" i="3" l="1"/>
  <c r="D676" i="3"/>
  <c r="E676" i="3"/>
  <c r="H676" i="3"/>
  <c r="C676" i="3" s="1"/>
  <c r="H677" i="3" l="1" a="1"/>
  <c r="F677" i="3" l="1"/>
  <c r="E677" i="3"/>
  <c r="D677" i="3"/>
  <c r="H677" i="3"/>
  <c r="C677" i="3" s="1"/>
  <c r="H678" i="3" l="1" a="1"/>
  <c r="F678" i="3" l="1"/>
  <c r="D678" i="3"/>
  <c r="H678" i="3"/>
  <c r="C678" i="3" s="1"/>
  <c r="E678" i="3"/>
  <c r="H679" i="3" l="1" a="1"/>
  <c r="F679" i="3" l="1"/>
  <c r="H679" i="3"/>
  <c r="C679" i="3" s="1"/>
  <c r="D679" i="3"/>
  <c r="E679" i="3"/>
  <c r="H680" i="3" l="1" a="1"/>
  <c r="D680" i="3" l="1"/>
  <c r="E680" i="3"/>
  <c r="F680" i="3"/>
  <c r="H680" i="3"/>
  <c r="C680" i="3" s="1"/>
  <c r="H681" i="3" l="1" a="1"/>
  <c r="F681" i="3" l="1"/>
  <c r="E681" i="3"/>
  <c r="H681" i="3"/>
  <c r="C681" i="3" s="1"/>
  <c r="D681" i="3"/>
  <c r="H682" i="3" l="1" a="1"/>
  <c r="H682" i="3" l="1"/>
  <c r="C682" i="3" s="1"/>
  <c r="E682" i="3"/>
  <c r="F682" i="3"/>
  <c r="D682" i="3"/>
  <c r="H683" i="3" l="1" a="1"/>
  <c r="F683" i="3" l="1"/>
  <c r="D683" i="3"/>
  <c r="H683" i="3"/>
  <c r="C683" i="3" s="1"/>
  <c r="E683" i="3"/>
  <c r="H684" i="3" l="1" a="1"/>
  <c r="F684" i="3" l="1"/>
  <c r="D684" i="3"/>
  <c r="H684" i="3"/>
  <c r="C684" i="3" s="1"/>
  <c r="E684" i="3"/>
  <c r="H685" i="3" l="1" a="1"/>
  <c r="F685" i="3" l="1"/>
  <c r="D685" i="3"/>
  <c r="H685" i="3"/>
  <c r="C685" i="3" s="1"/>
  <c r="E685" i="3"/>
  <c r="H686" i="3" l="1" a="1"/>
  <c r="D686" i="3" l="1"/>
  <c r="F686" i="3"/>
  <c r="H686" i="3"/>
  <c r="C686" i="3" s="1"/>
  <c r="E686" i="3"/>
  <c r="H687" i="3" l="1" a="1"/>
  <c r="D687" i="3" l="1"/>
  <c r="F687" i="3"/>
  <c r="E687" i="3"/>
  <c r="H687" i="3"/>
  <c r="C687" i="3" s="1"/>
  <c r="H688" i="3" l="1" a="1"/>
  <c r="D688" i="3" l="1"/>
  <c r="F688" i="3"/>
  <c r="H688" i="3"/>
  <c r="C688" i="3" s="1"/>
  <c r="E688" i="3"/>
  <c r="H689" i="3" l="1" a="1"/>
  <c r="D689" i="3" l="1"/>
  <c r="F689" i="3"/>
  <c r="H689" i="3"/>
  <c r="C689" i="3" s="1"/>
  <c r="E689" i="3"/>
  <c r="H690" i="3" l="1" a="1"/>
  <c r="D690" i="3" l="1"/>
  <c r="F690" i="3"/>
  <c r="E690" i="3"/>
  <c r="H690" i="3"/>
  <c r="C690" i="3" s="1"/>
  <c r="H691" i="3" l="1" a="1"/>
  <c r="D691" i="3" l="1"/>
  <c r="F691" i="3"/>
  <c r="E691" i="3"/>
  <c r="H691" i="3"/>
  <c r="C691" i="3" s="1"/>
  <c r="H692" i="3" l="1" a="1"/>
  <c r="D692" i="3" l="1"/>
  <c r="F692" i="3"/>
  <c r="E692" i="3"/>
  <c r="H692" i="3"/>
  <c r="C692" i="3" s="1"/>
  <c r="H693" i="3" l="1" a="1"/>
  <c r="F693" i="3" l="1"/>
  <c r="H693" i="3"/>
  <c r="C693" i="3" s="1"/>
  <c r="E693" i="3"/>
  <c r="D693" i="3"/>
  <c r="H694" i="3" l="1" a="1"/>
  <c r="F694" i="3" l="1"/>
  <c r="H694" i="3"/>
  <c r="C694" i="3" s="1"/>
  <c r="D694" i="3"/>
  <c r="E694" i="3"/>
  <c r="H695" i="3" l="1" a="1"/>
  <c r="F695" i="3" l="1"/>
  <c r="D695" i="3"/>
  <c r="E695" i="3"/>
  <c r="H695" i="3"/>
  <c r="C695" i="3" s="1"/>
  <c r="H696" i="3" l="1" a="1"/>
  <c r="F696" i="3" l="1"/>
  <c r="H696" i="3"/>
  <c r="C696" i="3" s="1"/>
  <c r="D696" i="3"/>
  <c r="E696" i="3"/>
  <c r="H697" i="3" l="1" a="1"/>
  <c r="F697" i="3" l="1"/>
  <c r="H697" i="3"/>
  <c r="C697" i="3" s="1"/>
  <c r="D697" i="3"/>
  <c r="E697" i="3"/>
  <c r="H698" i="3" l="1" a="1"/>
  <c r="F698" i="3" l="1"/>
  <c r="H698" i="3"/>
  <c r="C698" i="3" s="1"/>
  <c r="D698" i="3"/>
  <c r="E698" i="3"/>
  <c r="H699" i="3" l="1" a="1"/>
  <c r="F699" i="3" l="1"/>
  <c r="H699" i="3"/>
  <c r="C699" i="3" s="1"/>
  <c r="D699" i="3"/>
  <c r="E699" i="3"/>
  <c r="H700" i="3" l="1" a="1"/>
  <c r="F700" i="3" l="1"/>
  <c r="E700" i="3"/>
  <c r="H700" i="3"/>
  <c r="C700" i="3" s="1"/>
  <c r="D700" i="3"/>
  <c r="H701" i="3" l="1" a="1"/>
  <c r="F701" i="3" l="1"/>
  <c r="D701" i="3"/>
  <c r="E701" i="3"/>
  <c r="H701" i="3"/>
  <c r="C701" i="3" s="1"/>
  <c r="H702" i="3" l="1" a="1"/>
  <c r="F702" i="3" l="1"/>
  <c r="H702" i="3"/>
  <c r="C702" i="3" s="1"/>
  <c r="E702" i="3"/>
  <c r="D702" i="3"/>
  <c r="H703" i="3" l="1" a="1"/>
  <c r="F703" i="3" l="1"/>
  <c r="D703" i="3"/>
  <c r="H703" i="3"/>
  <c r="C703" i="3" s="1"/>
  <c r="E703" i="3"/>
  <c r="H704" i="3" l="1" a="1"/>
  <c r="F704" i="3" l="1"/>
  <c r="H704" i="3"/>
  <c r="C704" i="3" s="1"/>
  <c r="D704" i="3"/>
  <c r="E704" i="3"/>
  <c r="H705" i="3" l="1" a="1"/>
  <c r="F705" i="3" l="1"/>
  <c r="H705" i="3"/>
  <c r="C705" i="3" s="1"/>
  <c r="D705" i="3"/>
  <c r="E705" i="3"/>
  <c r="H706" i="3" l="1" a="1"/>
  <c r="F706" i="3" l="1"/>
  <c r="H706" i="3"/>
  <c r="C706" i="3" s="1"/>
  <c r="E706" i="3"/>
  <c r="D706" i="3"/>
  <c r="H707" i="3" l="1" a="1"/>
  <c r="F707" i="3" l="1"/>
  <c r="D707" i="3"/>
  <c r="H707" i="3"/>
  <c r="C707" i="3" s="1"/>
  <c r="E707" i="3"/>
  <c r="H708" i="3" l="1" a="1"/>
  <c r="F708" i="3" l="1"/>
  <c r="E708" i="3"/>
  <c r="H708" i="3"/>
  <c r="C708" i="3" s="1"/>
  <c r="D708" i="3"/>
  <c r="H709" i="3" l="1" a="1"/>
  <c r="F709" i="3" l="1"/>
  <c r="E709" i="3"/>
  <c r="D709" i="3"/>
  <c r="H709" i="3"/>
  <c r="C709" i="3" s="1"/>
  <c r="H710" i="3" l="1" a="1"/>
  <c r="F710" i="3" l="1"/>
  <c r="E710" i="3"/>
  <c r="D710" i="3"/>
  <c r="H710" i="3"/>
  <c r="C710" i="3" s="1"/>
  <c r="H711" i="3" l="1" a="1"/>
  <c r="E711" i="3" l="1"/>
  <c r="H711" i="3"/>
  <c r="C711" i="3" s="1"/>
  <c r="F711" i="3"/>
  <c r="D711" i="3"/>
  <c r="H712" i="3" l="1" a="1"/>
  <c r="H712" i="3" l="1"/>
  <c r="C712" i="3" s="1"/>
  <c r="F712" i="3"/>
  <c r="E712" i="3"/>
  <c r="D712" i="3"/>
  <c r="H713" i="3" l="1" a="1"/>
  <c r="F713" i="3" l="1"/>
  <c r="H713" i="3"/>
  <c r="C713" i="3" s="1"/>
  <c r="E713" i="3"/>
  <c r="D713" i="3"/>
  <c r="H714" i="3" l="1" a="1"/>
  <c r="F714" i="3" l="1"/>
  <c r="D714" i="3"/>
  <c r="H714" i="3"/>
  <c r="C714" i="3" s="1"/>
  <c r="E714" i="3"/>
  <c r="H715" i="3" l="1" a="1"/>
  <c r="F715" i="3" l="1"/>
  <c r="D715" i="3"/>
  <c r="E715" i="3"/>
  <c r="H715" i="3"/>
  <c r="C715" i="3" s="1"/>
  <c r="H716" i="3" l="1" a="1"/>
  <c r="D716" i="3" l="1"/>
  <c r="H716" i="3"/>
  <c r="C716" i="3" s="1"/>
  <c r="E716" i="3"/>
  <c r="F716" i="3"/>
  <c r="H717" i="3" l="1" a="1"/>
  <c r="D717" i="3" l="1"/>
  <c r="E717" i="3"/>
  <c r="F717" i="3"/>
  <c r="H717" i="3"/>
  <c r="C717" i="3" s="1"/>
  <c r="H718" i="3" l="1" a="1"/>
  <c r="F718" i="3" l="1"/>
  <c r="D718" i="3"/>
  <c r="E718" i="3"/>
  <c r="H718" i="3"/>
  <c r="C718" i="3" s="1"/>
  <c r="H719" i="3" l="1" a="1"/>
  <c r="F719" i="3" l="1"/>
  <c r="D719" i="3"/>
  <c r="H719" i="3"/>
  <c r="C719" i="3" s="1"/>
  <c r="E719" i="3"/>
  <c r="H720" i="3" l="1" a="1"/>
  <c r="F720" i="3" l="1"/>
  <c r="E720" i="3"/>
  <c r="D720" i="3"/>
  <c r="H720" i="3"/>
  <c r="C720" i="3" s="1"/>
  <c r="H721" i="3" l="1" a="1"/>
  <c r="F721" i="3" l="1"/>
  <c r="E721" i="3"/>
  <c r="D721" i="3"/>
  <c r="H721" i="3"/>
  <c r="C721" i="3" s="1"/>
  <c r="H722" i="3" l="1" a="1"/>
  <c r="E722" i="3" l="1"/>
  <c r="F722" i="3"/>
  <c r="H722" i="3"/>
  <c r="C722" i="3" s="1"/>
  <c r="D722" i="3"/>
  <c r="H723" i="3" l="1" a="1"/>
  <c r="D723" i="3" l="1"/>
  <c r="F723" i="3"/>
  <c r="E723" i="3"/>
  <c r="H723" i="3"/>
  <c r="C723" i="3" s="1"/>
  <c r="H724" i="3" l="1" a="1"/>
  <c r="F724" i="3" l="1"/>
  <c r="D724" i="3"/>
  <c r="E724" i="3"/>
  <c r="H724" i="3"/>
  <c r="C724" i="3" s="1"/>
  <c r="H725" i="3" l="1" a="1"/>
  <c r="F725" i="3" l="1"/>
  <c r="H725" i="3"/>
  <c r="C725" i="3" s="1"/>
  <c r="E725" i="3"/>
  <c r="D725" i="3"/>
  <c r="H726" i="3" l="1" a="1"/>
  <c r="H726" i="3" l="1"/>
  <c r="C726" i="3" s="1"/>
  <c r="E726" i="3"/>
  <c r="D726" i="3"/>
  <c r="F726" i="3"/>
  <c r="H727" i="3" l="1" a="1"/>
  <c r="H727" i="3" l="1"/>
  <c r="C727" i="3" s="1"/>
  <c r="D727" i="3"/>
  <c r="E727" i="3"/>
  <c r="F727" i="3"/>
  <c r="H728" i="3" l="1" a="1"/>
  <c r="F728" i="3" l="1"/>
  <c r="H728" i="3"/>
  <c r="C728" i="3" s="1"/>
  <c r="E728" i="3"/>
  <c r="D728" i="3"/>
  <c r="H729" i="3" l="1" a="1"/>
  <c r="F729" i="3" l="1"/>
  <c r="H729" i="3"/>
  <c r="C729" i="3" s="1"/>
  <c r="E729" i="3"/>
  <c r="D729" i="3"/>
  <c r="H730" i="3" l="1" a="1"/>
  <c r="F730" i="3" l="1"/>
  <c r="D730" i="3"/>
  <c r="H730" i="3"/>
  <c r="C730" i="3" s="1"/>
  <c r="E730" i="3"/>
  <c r="H731" i="3" l="1" a="1"/>
  <c r="F731" i="3" l="1"/>
  <c r="H731" i="3"/>
  <c r="C731" i="3" s="1"/>
  <c r="D731" i="3"/>
  <c r="E731" i="3"/>
  <c r="H732" i="3" l="1" a="1"/>
  <c r="H732" i="3" l="1"/>
  <c r="C732" i="3" s="1"/>
  <c r="E732" i="3"/>
  <c r="D732" i="3"/>
  <c r="F732" i="3"/>
  <c r="H733" i="3" l="1" a="1"/>
  <c r="F733" i="3" l="1"/>
  <c r="E733" i="3"/>
  <c r="H733" i="3"/>
  <c r="C733" i="3" s="1"/>
  <c r="D733" i="3"/>
  <c r="H734" i="3" l="1" a="1"/>
  <c r="D734" i="3" l="1"/>
  <c r="E734" i="3"/>
  <c r="H734" i="3"/>
  <c r="C734" i="3" s="1"/>
  <c r="F734" i="3"/>
  <c r="H735" i="3" l="1" a="1"/>
  <c r="H735" i="3" l="1"/>
  <c r="C735" i="3" s="1"/>
  <c r="F735" i="3"/>
  <c r="E735" i="3"/>
  <c r="D735" i="3"/>
  <c r="H736" i="3" l="1" a="1"/>
  <c r="F736" i="3" l="1"/>
  <c r="D736" i="3"/>
  <c r="H736" i="3"/>
  <c r="C736" i="3" s="1"/>
  <c r="E736" i="3"/>
  <c r="H737" i="3" l="1" a="1"/>
  <c r="F737" i="3" l="1"/>
  <c r="H737" i="3"/>
  <c r="C737" i="3" s="1"/>
  <c r="E737" i="3"/>
  <c r="D737" i="3"/>
  <c r="H738" i="3" l="1" a="1"/>
  <c r="E738" i="3" l="1"/>
  <c r="F738" i="3"/>
  <c r="H738" i="3"/>
  <c r="C738" i="3" s="1"/>
  <c r="D738" i="3"/>
  <c r="H739" i="3" l="1" a="1"/>
  <c r="H739" i="3" l="1"/>
  <c r="C739" i="3" s="1"/>
  <c r="F739" i="3"/>
  <c r="D739" i="3"/>
  <c r="E739" i="3"/>
  <c r="H740" i="3" l="1" a="1"/>
  <c r="E740" i="3" l="1"/>
  <c r="F740" i="3"/>
  <c r="H740" i="3"/>
  <c r="C740" i="3" s="1"/>
  <c r="D740" i="3"/>
  <c r="H741" i="3" l="1" a="1"/>
  <c r="F741" i="3" l="1"/>
  <c r="H741" i="3"/>
  <c r="C741" i="3" s="1"/>
  <c r="E741" i="3"/>
  <c r="D741" i="3"/>
  <c r="H742" i="3" l="1" a="1"/>
  <c r="H742" i="3" l="1"/>
  <c r="C742" i="3" s="1"/>
  <c r="F742" i="3"/>
  <c r="D742" i="3"/>
  <c r="E742" i="3"/>
  <c r="H743" i="3" l="1" a="1"/>
  <c r="D743" i="3" l="1"/>
  <c r="F743" i="3"/>
  <c r="H743" i="3"/>
  <c r="C743" i="3" s="1"/>
  <c r="E743" i="3"/>
  <c r="H744" i="3" l="1" a="1"/>
  <c r="H744" i="3" l="1"/>
  <c r="C744" i="3" s="1"/>
  <c r="D744" i="3"/>
  <c r="F744" i="3"/>
  <c r="E744" i="3"/>
  <c r="H745" i="3" l="1" a="1"/>
  <c r="F745" i="3" l="1"/>
  <c r="H745" i="3"/>
  <c r="C745" i="3" s="1"/>
  <c r="E745" i="3"/>
  <c r="D745" i="3"/>
  <c r="H746" i="3" l="1" a="1"/>
  <c r="F746" i="3" l="1"/>
  <c r="H746" i="3"/>
  <c r="C746" i="3" s="1"/>
  <c r="D746" i="3"/>
  <c r="E746" i="3"/>
  <c r="H747" i="3" l="1" a="1"/>
  <c r="E747" i="3" l="1"/>
  <c r="H747" i="3"/>
  <c r="C747" i="3" s="1"/>
  <c r="D747" i="3"/>
  <c r="F747" i="3"/>
  <c r="H748" i="3" l="1" a="1"/>
  <c r="D748" i="3" l="1"/>
  <c r="F748" i="3"/>
  <c r="H748" i="3"/>
  <c r="C748" i="3" s="1"/>
  <c r="E748" i="3"/>
  <c r="H749" i="3" l="1" a="1"/>
  <c r="D749" i="3" l="1"/>
  <c r="F749" i="3"/>
  <c r="H749" i="3"/>
  <c r="C749" i="3" s="1"/>
  <c r="E749" i="3"/>
  <c r="H750" i="3" l="1" a="1"/>
  <c r="E750" i="3" l="1"/>
  <c r="H750" i="3"/>
  <c r="C750" i="3" s="1"/>
  <c r="D750" i="3"/>
  <c r="F750" i="3"/>
  <c r="H751" i="3" l="1" a="1"/>
  <c r="F751" i="3" l="1"/>
  <c r="D751" i="3"/>
  <c r="E751" i="3"/>
  <c r="H751" i="3"/>
  <c r="C751" i="3" s="1"/>
  <c r="H752" i="3" l="1" a="1"/>
  <c r="H752" i="3" l="1"/>
  <c r="C752" i="3" s="1"/>
  <c r="D752" i="3"/>
  <c r="E752" i="3"/>
  <c r="F752" i="3"/>
  <c r="H753" i="3" l="1" a="1"/>
  <c r="E753" i="3" l="1"/>
  <c r="F753" i="3"/>
  <c r="H753" i="3"/>
  <c r="C753" i="3" s="1"/>
  <c r="D753" i="3"/>
  <c r="H754" i="3" l="1" a="1"/>
  <c r="F754" i="3" l="1"/>
  <c r="E754" i="3"/>
  <c r="H754" i="3"/>
  <c r="C754" i="3" s="1"/>
  <c r="D754" i="3"/>
  <c r="H755" i="3" l="1" a="1"/>
  <c r="F755" i="3" l="1"/>
  <c r="D755" i="3"/>
  <c r="H755" i="3"/>
  <c r="C755" i="3" s="1"/>
  <c r="E755" i="3"/>
  <c r="H756" i="3" l="1" a="1"/>
  <c r="F756" i="3" s="1"/>
  <c r="E756" i="3"/>
  <c r="D756" i="3"/>
  <c r="H756" i="3" l="1"/>
  <c r="C756" i="3" s="1"/>
  <c r="H757" i="3" a="1"/>
  <c r="F757" i="3" l="1"/>
  <c r="H757" i="3"/>
  <c r="C757" i="3" s="1"/>
  <c r="E757" i="3"/>
  <c r="D757" i="3"/>
  <c r="H758" i="3" l="1" a="1"/>
  <c r="F758" i="3" l="1"/>
  <c r="D758" i="3"/>
  <c r="E758" i="3"/>
  <c r="H758" i="3"/>
  <c r="C758" i="3" s="1"/>
  <c r="H759" i="3" l="1" a="1"/>
  <c r="F759" i="3" l="1"/>
  <c r="E759" i="3"/>
  <c r="H759" i="3"/>
  <c r="C759" i="3" s="1"/>
  <c r="D759" i="3"/>
  <c r="H760" i="3" l="1" a="1"/>
  <c r="F760" i="3" l="1"/>
  <c r="H760" i="3"/>
  <c r="C760" i="3" s="1"/>
  <c r="D760" i="3"/>
  <c r="E760" i="3"/>
  <c r="H761" i="3" l="1" a="1"/>
  <c r="F761" i="3" l="1"/>
  <c r="H761" i="3"/>
  <c r="C761" i="3" s="1"/>
  <c r="E761" i="3"/>
  <c r="D761" i="3"/>
  <c r="H762" i="3" l="1" a="1"/>
  <c r="F762" i="3" l="1"/>
  <c r="H762" i="3"/>
  <c r="C762" i="3" s="1"/>
  <c r="E762" i="3"/>
  <c r="D762" i="3"/>
  <c r="H763" i="3" l="1" a="1"/>
  <c r="F763" i="3" l="1"/>
  <c r="H763" i="3"/>
  <c r="C763" i="3" s="1"/>
  <c r="D763" i="3"/>
  <c r="E763" i="3"/>
  <c r="H764" i="3" l="1" a="1"/>
  <c r="F764" i="3" l="1"/>
  <c r="H764" i="3"/>
  <c r="C764" i="3" s="1"/>
  <c r="E764" i="3"/>
  <c r="D764" i="3"/>
  <c r="H765" i="3" l="1" a="1"/>
  <c r="F765" i="3" l="1"/>
  <c r="H765" i="3"/>
  <c r="C765" i="3" s="1"/>
  <c r="E765" i="3"/>
  <c r="D765" i="3"/>
  <c r="H766" i="3" l="1" a="1"/>
  <c r="F766" i="3" l="1"/>
  <c r="H766" i="3"/>
  <c r="C766" i="3" s="1"/>
  <c r="E766" i="3"/>
  <c r="D766" i="3"/>
  <c r="H767" i="3" l="1" a="1"/>
  <c r="F767" i="3" l="1"/>
  <c r="H767" i="3"/>
  <c r="C767" i="3" s="1"/>
  <c r="D767" i="3"/>
  <c r="E767" i="3"/>
  <c r="H768" i="3" l="1" a="1"/>
  <c r="F768" i="3" l="1"/>
  <c r="H768" i="3"/>
  <c r="C768" i="3" s="1"/>
  <c r="D768" i="3"/>
  <c r="E768" i="3"/>
  <c r="H769" i="3" l="1" a="1"/>
  <c r="H769" i="3" l="1"/>
  <c r="C769" i="3" s="1"/>
  <c r="D769" i="3"/>
  <c r="F769" i="3"/>
  <c r="E769" i="3"/>
  <c r="H770" i="3" l="1" a="1"/>
  <c r="E770" i="3" l="1"/>
  <c r="F770" i="3"/>
  <c r="D770" i="3"/>
  <c r="H770" i="3"/>
  <c r="C770" i="3" s="1"/>
  <c r="H771" i="3" l="1" a="1"/>
  <c r="D771" i="3" l="1"/>
  <c r="F771" i="3"/>
  <c r="H771" i="3"/>
  <c r="C771" i="3" s="1"/>
  <c r="E771" i="3"/>
  <c r="H772" i="3" l="1" a="1"/>
  <c r="F772" i="3" l="1"/>
  <c r="E772" i="3"/>
  <c r="D772" i="3"/>
  <c r="H772" i="3"/>
  <c r="C772" i="3" s="1"/>
  <c r="H773" i="3" l="1" a="1"/>
  <c r="E773" i="3" l="1"/>
  <c r="F773" i="3"/>
  <c r="D773" i="3"/>
  <c r="H773" i="3"/>
  <c r="C773" i="3" s="1"/>
  <c r="H774" i="3" l="1" a="1"/>
  <c r="F774" i="3" l="1"/>
  <c r="H774" i="3"/>
  <c r="C774" i="3" s="1"/>
  <c r="D774" i="3"/>
  <c r="E774" i="3"/>
  <c r="H775" i="3" l="1" a="1"/>
  <c r="D775" i="3" l="1"/>
  <c r="H775" i="3"/>
  <c r="C775" i="3" s="1"/>
  <c r="F775" i="3"/>
  <c r="E775" i="3"/>
  <c r="H776" i="3" l="1" a="1"/>
  <c r="H776" i="3" l="1"/>
  <c r="C776" i="3" s="1"/>
  <c r="E776" i="3"/>
  <c r="F776" i="3"/>
  <c r="D776" i="3"/>
  <c r="H777" i="3" l="1" a="1"/>
  <c r="F777" i="3" l="1"/>
  <c r="H777" i="3"/>
  <c r="C777" i="3" s="1"/>
  <c r="E777" i="3"/>
  <c r="D777" i="3"/>
  <c r="H778" i="3" l="1" a="1"/>
  <c r="H778" i="3" l="1"/>
  <c r="C778" i="3" s="1"/>
  <c r="F778" i="3"/>
  <c r="D778" i="3"/>
  <c r="E778" i="3"/>
  <c r="H779" i="3" l="1" a="1"/>
  <c r="D779" i="3" l="1"/>
  <c r="F779" i="3"/>
  <c r="E779" i="3"/>
  <c r="H779" i="3"/>
  <c r="C779" i="3" s="1"/>
  <c r="H780" i="3" l="1" a="1"/>
  <c r="H780" i="3" l="1"/>
  <c r="C780" i="3" s="1"/>
  <c r="F780" i="3"/>
  <c r="D780" i="3"/>
  <c r="E780" i="3"/>
  <c r="H781" i="3" l="1" a="1"/>
  <c r="F781" i="3" l="1"/>
  <c r="E781" i="3"/>
  <c r="H781" i="3"/>
  <c r="C781" i="3" s="1"/>
  <c r="D781" i="3"/>
  <c r="H782" i="3" l="1" a="1"/>
  <c r="F782" i="3" l="1"/>
  <c r="D782" i="3"/>
  <c r="H782" i="3"/>
  <c r="C782" i="3" s="1"/>
  <c r="E782" i="3"/>
  <c r="H783" i="3" l="1" a="1"/>
  <c r="D783" i="3" l="1"/>
  <c r="F783" i="3"/>
  <c r="E783" i="3"/>
  <c r="H783" i="3"/>
  <c r="C783" i="3" s="1"/>
  <c r="H784" i="3" l="1" a="1"/>
  <c r="F784" i="3" l="1"/>
  <c r="D784" i="3"/>
  <c r="E784" i="3"/>
  <c r="H784" i="3"/>
  <c r="C784" i="3" s="1"/>
  <c r="H785" i="3" l="1" a="1"/>
  <c r="D785" i="3" l="1"/>
  <c r="H785" i="3"/>
  <c r="C785" i="3" s="1"/>
  <c r="E785" i="3"/>
  <c r="F785" i="3"/>
  <c r="H786" i="3" l="1" a="1"/>
  <c r="F786" i="3" l="1"/>
  <c r="D786" i="3"/>
  <c r="H786" i="3"/>
  <c r="C786" i="3" s="1"/>
  <c r="E786" i="3"/>
  <c r="H787" i="3" l="1" a="1"/>
  <c r="F787" i="3" l="1"/>
  <c r="H787" i="3"/>
  <c r="C787" i="3" s="1"/>
  <c r="D787" i="3"/>
  <c r="E787" i="3"/>
  <c r="H788" i="3" l="1" a="1"/>
  <c r="H788" i="3" l="1"/>
  <c r="C788" i="3" s="1"/>
  <c r="D788" i="3"/>
  <c r="F788" i="3"/>
  <c r="E788" i="3"/>
  <c r="H789" i="3" l="1" a="1"/>
  <c r="D789" i="3" l="1"/>
  <c r="E789" i="3"/>
  <c r="F789" i="3"/>
  <c r="H789" i="3"/>
  <c r="C789" i="3" s="1"/>
  <c r="H790" i="3" l="1" a="1"/>
  <c r="F790" i="3" l="1"/>
  <c r="H790" i="3"/>
  <c r="C790" i="3" s="1"/>
  <c r="E790" i="3"/>
  <c r="D790" i="3"/>
  <c r="H791" i="3" l="1" a="1"/>
  <c r="D791" i="3" l="1"/>
  <c r="F791" i="3"/>
  <c r="H791" i="3"/>
  <c r="C791" i="3" s="1"/>
  <c r="E791" i="3"/>
  <c r="H792" i="3" l="1" a="1"/>
  <c r="F792" i="3" l="1"/>
  <c r="E792" i="3"/>
  <c r="H792" i="3"/>
  <c r="C792" i="3" s="1"/>
  <c r="D792" i="3"/>
  <c r="H793" i="3" l="1" a="1"/>
  <c r="F793" i="3" l="1"/>
  <c r="D793" i="3"/>
  <c r="H793" i="3"/>
  <c r="C793" i="3" s="1"/>
  <c r="E793" i="3"/>
  <c r="H794" i="3" l="1" a="1"/>
  <c r="F794" i="3" l="1"/>
  <c r="E794" i="3"/>
  <c r="H794" i="3"/>
  <c r="C794" i="3" s="1"/>
  <c r="D794" i="3"/>
  <c r="H795" i="3" l="1" a="1"/>
  <c r="H795" i="3" l="1"/>
  <c r="C795" i="3" s="1"/>
  <c r="F795" i="3"/>
  <c r="D795" i="3"/>
  <c r="E795" i="3"/>
  <c r="H796" i="3" l="1" a="1"/>
  <c r="H796" i="3" l="1"/>
  <c r="C796" i="3" s="1"/>
  <c r="D796" i="3"/>
  <c r="F796" i="3"/>
  <c r="E796" i="3"/>
  <c r="H797" i="3" l="1" a="1"/>
  <c r="F797" i="3" l="1"/>
  <c r="H797" i="3"/>
  <c r="C797" i="3" s="1"/>
  <c r="D797" i="3"/>
  <c r="E797" i="3"/>
  <c r="H798" i="3" l="1" a="1"/>
  <c r="D798" i="3" l="1"/>
  <c r="E798" i="3"/>
  <c r="F798" i="3"/>
  <c r="H798" i="3"/>
  <c r="C798" i="3" s="1"/>
  <c r="H799" i="3" l="1" a="1"/>
  <c r="H799" i="3" l="1"/>
  <c r="C799" i="3" s="1"/>
  <c r="D799" i="3"/>
  <c r="F799" i="3"/>
  <c r="E799" i="3"/>
  <c r="H800" i="3" l="1" a="1"/>
  <c r="H800" i="3" l="1"/>
  <c r="C800" i="3" s="1"/>
  <c r="D800" i="3"/>
  <c r="E800" i="3"/>
  <c r="F800" i="3"/>
  <c r="H801" i="3" l="1" a="1"/>
  <c r="E801" i="3" l="1"/>
  <c r="D801" i="3"/>
  <c r="H801" i="3"/>
  <c r="C801" i="3" s="1"/>
  <c r="F801" i="3"/>
  <c r="H802" i="3" l="1" a="1"/>
  <c r="D802" i="3" l="1"/>
  <c r="H802" i="3"/>
  <c r="C802" i="3" s="1"/>
  <c r="F802" i="3"/>
  <c r="E802" i="3"/>
  <c r="H803" i="3" l="1" a="1"/>
  <c r="H803" i="3" l="1"/>
  <c r="C803" i="3" s="1"/>
  <c r="E803" i="3"/>
  <c r="D803" i="3"/>
  <c r="F803" i="3"/>
  <c r="H804" i="3" l="1" a="1"/>
  <c r="F804" i="3" l="1"/>
  <c r="H804" i="3"/>
  <c r="C804" i="3" s="1"/>
  <c r="D804" i="3"/>
  <c r="E804" i="3"/>
  <c r="H805" i="3" l="1" a="1"/>
  <c r="F805" i="3" l="1"/>
  <c r="E805" i="3"/>
  <c r="H805" i="3"/>
  <c r="C805" i="3" s="1"/>
  <c r="D805" i="3"/>
  <c r="H806" i="3" l="1" a="1"/>
  <c r="F806" i="3" l="1"/>
  <c r="D806" i="3"/>
  <c r="H806" i="3"/>
  <c r="C806" i="3" s="1"/>
  <c r="E806" i="3"/>
  <c r="H807" i="3" l="1" a="1"/>
  <c r="E807" i="3" l="1"/>
  <c r="H807" i="3"/>
  <c r="C807" i="3" s="1"/>
  <c r="D807" i="3"/>
  <c r="F807" i="3"/>
  <c r="H808" i="3" l="1" a="1"/>
  <c r="H808" i="3" l="1"/>
  <c r="C808" i="3" s="1"/>
  <c r="D808" i="3"/>
  <c r="F808" i="3"/>
  <c r="E808" i="3"/>
  <c r="H809" i="3" l="1" a="1"/>
  <c r="F809" i="3" l="1"/>
  <c r="D809" i="3"/>
  <c r="H809" i="3"/>
  <c r="C809" i="3" s="1"/>
  <c r="E809" i="3"/>
  <c r="H810" i="3" l="1" a="1"/>
  <c r="F810" i="3" l="1"/>
  <c r="H810" i="3"/>
  <c r="C810" i="3" s="1"/>
  <c r="D810" i="3"/>
  <c r="E810" i="3"/>
  <c r="H811" i="3" l="1" a="1"/>
  <c r="F811" i="3" l="1"/>
  <c r="E811" i="3"/>
  <c r="D811" i="3"/>
  <c r="H811" i="3"/>
  <c r="C811" i="3" s="1"/>
  <c r="H812" i="3" l="1" a="1"/>
  <c r="F812" i="3" l="1"/>
  <c r="D812" i="3"/>
  <c r="E812" i="3"/>
  <c r="H812" i="3"/>
  <c r="C812" i="3" s="1"/>
  <c r="H813" i="3" l="1" a="1"/>
  <c r="F813" i="3" l="1"/>
  <c r="E813" i="3"/>
  <c r="D813" i="3"/>
  <c r="H813" i="3"/>
  <c r="C813" i="3" s="1"/>
  <c r="H814" i="3" l="1" a="1"/>
  <c r="H814" i="3" l="1"/>
  <c r="C814" i="3" s="1"/>
  <c r="D814" i="3"/>
  <c r="F814" i="3"/>
  <c r="E814" i="3"/>
  <c r="H815" i="3" l="1" a="1"/>
  <c r="F815" i="3" l="1"/>
  <c r="H815" i="3"/>
  <c r="C815" i="3" s="1"/>
  <c r="E815" i="3"/>
  <c r="D815" i="3"/>
  <c r="H816" i="3" l="1" a="1"/>
  <c r="E816" i="3" l="1"/>
  <c r="F816" i="3"/>
  <c r="H816" i="3"/>
  <c r="C816" i="3" s="1"/>
  <c r="D816" i="3"/>
  <c r="H817" i="3" l="1" a="1"/>
  <c r="D817" i="3" l="1"/>
  <c r="H817" i="3"/>
  <c r="C817" i="3" s="1"/>
  <c r="E817" i="3"/>
  <c r="F817" i="3"/>
  <c r="H818" i="3" l="1" a="1"/>
  <c r="F818" i="3" l="1"/>
  <c r="H818" i="3"/>
  <c r="C818" i="3" s="1"/>
  <c r="D818" i="3"/>
  <c r="E818" i="3"/>
  <c r="H819" i="3" l="1" a="1"/>
  <c r="F819" i="3" l="1"/>
  <c r="D819" i="3"/>
  <c r="E819" i="3"/>
  <c r="H819" i="3"/>
  <c r="C819" i="3" s="1"/>
  <c r="H820" i="3" l="1" a="1"/>
  <c r="F820" i="3" l="1"/>
  <c r="D820" i="3"/>
  <c r="H820" i="3"/>
  <c r="C820" i="3" s="1"/>
  <c r="E820" i="3"/>
  <c r="H821" i="3" l="1" a="1"/>
  <c r="F821" i="3" l="1"/>
  <c r="E821" i="3"/>
  <c r="H821" i="3"/>
  <c r="C821" i="3" s="1"/>
  <c r="D821" i="3"/>
  <c r="H822" i="3" l="1" a="1"/>
  <c r="D822" i="3" l="1"/>
  <c r="F822" i="3"/>
  <c r="H822" i="3"/>
  <c r="C822" i="3" s="1"/>
  <c r="E822" i="3"/>
  <c r="H823" i="3" l="1" a="1"/>
  <c r="F823" i="3" l="1"/>
  <c r="H823" i="3"/>
  <c r="C823" i="3" s="1"/>
  <c r="D823" i="3"/>
  <c r="E823" i="3"/>
  <c r="H824" i="3" l="1" a="1"/>
  <c r="D824" i="3" l="1"/>
  <c r="F824" i="3"/>
  <c r="H824" i="3"/>
  <c r="C824" i="3" s="1"/>
  <c r="E824" i="3"/>
  <c r="H825" i="3" l="1" a="1"/>
  <c r="E825" i="3" l="1"/>
  <c r="F825" i="3"/>
  <c r="H825" i="3"/>
  <c r="C825" i="3" s="1"/>
  <c r="D825" i="3"/>
  <c r="H826" i="3" l="1" a="1"/>
  <c r="H826" i="3" l="1"/>
  <c r="C826" i="3" s="1"/>
  <c r="E826" i="3"/>
  <c r="D826" i="3"/>
  <c r="F826" i="3"/>
  <c r="H827" i="3" l="1" a="1"/>
  <c r="D827" i="3" l="1"/>
  <c r="F827" i="3"/>
  <c r="H827" i="3"/>
  <c r="C827" i="3" s="1"/>
  <c r="E827" i="3"/>
  <c r="H828" i="3" l="1" a="1"/>
  <c r="H828" i="3" l="1"/>
  <c r="C828" i="3" s="1"/>
  <c r="E828" i="3"/>
  <c r="D828" i="3"/>
  <c r="F828" i="3"/>
  <c r="H829" i="3" l="1" a="1"/>
  <c r="F829" i="3" l="1"/>
  <c r="D829" i="3"/>
  <c r="H829" i="3"/>
  <c r="C829" i="3" s="1"/>
  <c r="E829" i="3"/>
  <c r="H830" i="3" l="1" a="1"/>
  <c r="F830" i="3" l="1"/>
  <c r="D830" i="3"/>
  <c r="H830" i="3"/>
  <c r="C830" i="3" s="1"/>
  <c r="E830" i="3"/>
  <c r="H831" i="3" l="1" a="1"/>
  <c r="F831" i="3" l="1"/>
  <c r="H831" i="3"/>
  <c r="C831" i="3" s="1"/>
  <c r="D831" i="3"/>
  <c r="E831" i="3"/>
  <c r="H832" i="3" l="1" a="1"/>
  <c r="F832" i="3" l="1"/>
  <c r="H832" i="3"/>
  <c r="C832" i="3" s="1"/>
  <c r="D832" i="3"/>
  <c r="E832" i="3"/>
  <c r="H833" i="3" l="1" a="1"/>
  <c r="E833" i="3" l="1"/>
  <c r="F833" i="3"/>
  <c r="D833" i="3"/>
  <c r="H833" i="3"/>
  <c r="C833" i="3" s="1"/>
  <c r="H834" i="3" l="1" a="1"/>
  <c r="F834" i="3" l="1"/>
  <c r="E834" i="3"/>
  <c r="H834" i="3"/>
  <c r="C834" i="3" s="1"/>
  <c r="D834" i="3"/>
  <c r="H835" i="3" l="1" a="1"/>
  <c r="E835" i="3" l="1"/>
  <c r="F835" i="3"/>
  <c r="H835" i="3"/>
  <c r="C835" i="3" s="1"/>
  <c r="D835" i="3"/>
  <c r="H836" i="3" l="1" a="1"/>
  <c r="H836" i="3" l="1"/>
  <c r="C836" i="3" s="1"/>
  <c r="F836" i="3"/>
  <c r="D836" i="3"/>
  <c r="E836" i="3"/>
  <c r="H837" i="3" l="1" a="1"/>
  <c r="F837" i="3" l="1"/>
  <c r="E837" i="3"/>
  <c r="H837" i="3"/>
  <c r="C837" i="3" s="1"/>
  <c r="D837" i="3"/>
  <c r="H838" i="3" l="1" a="1"/>
  <c r="F838" i="3" l="1"/>
  <c r="D838" i="3"/>
  <c r="H838" i="3"/>
  <c r="C838" i="3" s="1"/>
  <c r="E838" i="3"/>
  <c r="H839" i="3" l="1" a="1"/>
  <c r="F839" i="3" l="1"/>
  <c r="E839" i="3"/>
  <c r="D839" i="3"/>
  <c r="H839" i="3"/>
  <c r="C839" i="3" s="1"/>
  <c r="H840" i="3" l="1" a="1"/>
  <c r="F840" i="3" l="1"/>
  <c r="H840" i="3"/>
  <c r="C840" i="3" s="1"/>
  <c r="E840" i="3"/>
  <c r="D840" i="3"/>
  <c r="H841" i="3" l="1" a="1"/>
  <c r="E841" i="3" l="1"/>
  <c r="H841" i="3"/>
  <c r="C841" i="3" s="1"/>
  <c r="D841" i="3"/>
  <c r="F841" i="3"/>
  <c r="H842" i="3" l="1" a="1"/>
  <c r="H842" i="3" l="1"/>
  <c r="C842" i="3" s="1"/>
  <c r="D842" i="3"/>
  <c r="E842" i="3"/>
  <c r="F842" i="3"/>
  <c r="H843" i="3" l="1" a="1"/>
  <c r="D843" i="3" l="1"/>
  <c r="F843" i="3"/>
  <c r="H843" i="3"/>
  <c r="C843" i="3" s="1"/>
  <c r="E843" i="3"/>
  <c r="H844" i="3" l="1" a="1"/>
  <c r="F844" i="3" l="1"/>
  <c r="E844" i="3"/>
  <c r="H844" i="3"/>
  <c r="C844" i="3" s="1"/>
  <c r="D844" i="3"/>
  <c r="H845" i="3" l="1" a="1"/>
  <c r="H845" i="3" l="1"/>
  <c r="C845" i="3" s="1"/>
  <c r="D845" i="3"/>
  <c r="F845" i="3"/>
  <c r="E845" i="3"/>
  <c r="H846" i="3" l="1" a="1"/>
  <c r="E846" i="3" l="1"/>
  <c r="F846" i="3"/>
  <c r="H846" i="3"/>
  <c r="C846" i="3" s="1"/>
  <c r="D846" i="3"/>
  <c r="H847" i="3" l="1" a="1"/>
  <c r="D847" i="3" l="1"/>
  <c r="H847" i="3"/>
  <c r="C847" i="3" s="1"/>
  <c r="E847" i="3"/>
  <c r="F847" i="3"/>
  <c r="H848" i="3" l="1" a="1"/>
  <c r="E848" i="3" l="1"/>
  <c r="F848" i="3"/>
  <c r="H848" i="3"/>
  <c r="C848" i="3" s="1"/>
  <c r="D848" i="3"/>
  <c r="H849" i="3" l="1" a="1"/>
  <c r="F849" i="3" l="1"/>
  <c r="H849" i="3"/>
  <c r="C849" i="3" s="1"/>
  <c r="E849" i="3"/>
  <c r="D849" i="3"/>
  <c r="H850" i="3" l="1" a="1"/>
  <c r="F850" i="3" l="1"/>
  <c r="D850" i="3"/>
  <c r="H850" i="3"/>
  <c r="C850" i="3" s="1"/>
  <c r="E850" i="3"/>
  <c r="H851" i="3" l="1" a="1"/>
  <c r="E851" i="3" s="1"/>
  <c r="H851" i="3" l="1"/>
  <c r="C851" i="3" s="1"/>
  <c r="D851" i="3"/>
  <c r="F851" i="3"/>
  <c r="H852" i="3" l="1" a="1"/>
  <c r="E852" i="3"/>
  <c r="F852" i="3"/>
  <c r="H852" i="3"/>
  <c r="C852" i="3" s="1"/>
  <c r="D852" i="3"/>
  <c r="H853" i="3" l="1" a="1"/>
  <c r="D853" i="3" l="1"/>
  <c r="F853" i="3"/>
  <c r="E853" i="3"/>
  <c r="H853" i="3"/>
  <c r="C853" i="3" s="1"/>
  <c r="H854" i="3" l="1" a="1"/>
  <c r="F854" i="3" l="1"/>
  <c r="E854" i="3"/>
  <c r="D854" i="3"/>
  <c r="H854" i="3"/>
  <c r="C854" i="3" s="1"/>
  <c r="H855" i="3" l="1" a="1"/>
  <c r="D855" i="3" l="1"/>
  <c r="F855" i="3"/>
  <c r="H855" i="3"/>
  <c r="C855" i="3" s="1"/>
  <c r="E855" i="3"/>
  <c r="H856" i="3" l="1" a="1"/>
  <c r="F856" i="3" l="1"/>
  <c r="H856" i="3"/>
  <c r="C856" i="3" s="1"/>
  <c r="E856" i="3"/>
  <c r="D856" i="3"/>
  <c r="H857" i="3" l="1" a="1"/>
  <c r="H857" i="3" l="1"/>
  <c r="C857" i="3" s="1"/>
  <c r="F857" i="3"/>
  <c r="D857" i="3"/>
  <c r="E857" i="3"/>
  <c r="H858" i="3" l="1" a="1"/>
  <c r="F858" i="3" l="1"/>
  <c r="H858" i="3"/>
  <c r="C858" i="3" s="1"/>
  <c r="E858" i="3"/>
  <c r="D858" i="3"/>
  <c r="H859" i="3" l="1" a="1"/>
  <c r="F859" i="3" l="1"/>
  <c r="D859" i="3"/>
  <c r="H859" i="3"/>
  <c r="C859" i="3" s="1"/>
  <c r="E859" i="3"/>
  <c r="H860" i="3" l="1" a="1"/>
  <c r="F860" i="3" l="1"/>
  <c r="D860" i="3"/>
  <c r="H860" i="3"/>
  <c r="C860" i="3" s="1"/>
  <c r="E860" i="3"/>
  <c r="H861" i="3" l="1" a="1"/>
  <c r="F861" i="3" l="1"/>
  <c r="E861" i="3"/>
  <c r="H861" i="3"/>
  <c r="C861" i="3" s="1"/>
  <c r="D861" i="3"/>
  <c r="H862" i="3" l="1" a="1"/>
  <c r="F862" i="3" l="1"/>
  <c r="H862" i="3"/>
  <c r="C862" i="3" s="1"/>
  <c r="E862" i="3"/>
  <c r="D862" i="3"/>
  <c r="H863" i="3" l="1" a="1"/>
  <c r="F863" i="3" l="1"/>
  <c r="D863" i="3"/>
  <c r="H863" i="3"/>
  <c r="C863" i="3" s="1"/>
  <c r="E863" i="3"/>
  <c r="H864" i="3" l="1" a="1"/>
  <c r="F864" i="3" l="1"/>
  <c r="H864" i="3"/>
  <c r="C864" i="3" s="1"/>
  <c r="D864" i="3"/>
  <c r="E864" i="3"/>
  <c r="H865" i="3" l="1" a="1"/>
  <c r="F865" i="3" l="1"/>
  <c r="H865" i="3"/>
  <c r="C865" i="3" s="1"/>
  <c r="D865" i="3"/>
  <c r="E865" i="3"/>
  <c r="H866" i="3" l="1" a="1"/>
  <c r="F866" i="3" l="1"/>
  <c r="D866" i="3"/>
  <c r="H866" i="3"/>
  <c r="C866" i="3" s="1"/>
  <c r="E866" i="3"/>
  <c r="H867" i="3" l="1" a="1"/>
  <c r="H867" i="3" l="1"/>
  <c r="C867" i="3" s="1"/>
  <c r="E867" i="3"/>
  <c r="F867" i="3"/>
  <c r="D867" i="3"/>
  <c r="H868" i="3" l="1" a="1"/>
  <c r="F868" i="3" l="1"/>
  <c r="E868" i="3"/>
  <c r="H868" i="3"/>
  <c r="C868" i="3" s="1"/>
  <c r="D868" i="3"/>
  <c r="H869" i="3" l="1" a="1"/>
  <c r="F869" i="3" l="1"/>
  <c r="H869" i="3"/>
  <c r="C869" i="3" s="1"/>
  <c r="D869" i="3"/>
  <c r="E869" i="3"/>
  <c r="H870" i="3" l="1" a="1"/>
  <c r="F870" i="3" l="1"/>
  <c r="E870" i="3"/>
  <c r="H870" i="3"/>
  <c r="C870" i="3" s="1"/>
  <c r="D870" i="3"/>
  <c r="H871" i="3" l="1" a="1"/>
  <c r="F871" i="3" l="1"/>
  <c r="E871" i="3"/>
  <c r="H871" i="3"/>
  <c r="C871" i="3" s="1"/>
  <c r="D871" i="3"/>
  <c r="H872" i="3" l="1" a="1"/>
  <c r="F872" i="3" l="1"/>
  <c r="H872" i="3"/>
  <c r="C872" i="3" s="1"/>
  <c r="D872" i="3"/>
  <c r="E872" i="3"/>
  <c r="H873" i="3" l="1" a="1"/>
  <c r="F873" i="3" l="1"/>
  <c r="H873" i="3"/>
  <c r="C873" i="3" s="1"/>
  <c r="E873" i="3"/>
  <c r="D873" i="3"/>
  <c r="H874" i="3" l="1" a="1"/>
  <c r="F874" i="3" l="1"/>
  <c r="H874" i="3"/>
  <c r="C874" i="3" s="1"/>
  <c r="D874" i="3"/>
  <c r="E874" i="3"/>
  <c r="H875" i="3" l="1" a="1"/>
  <c r="F875" i="3" l="1"/>
  <c r="E875" i="3"/>
  <c r="H875" i="3"/>
  <c r="C875" i="3" s="1"/>
  <c r="D875" i="3"/>
  <c r="H876" i="3" l="1" a="1"/>
  <c r="F876" i="3" l="1"/>
  <c r="H876" i="3"/>
  <c r="C876" i="3" s="1"/>
  <c r="D876" i="3"/>
  <c r="E876" i="3"/>
  <c r="H877" i="3" l="1" a="1"/>
  <c r="F877" i="3" l="1"/>
  <c r="E877" i="3"/>
  <c r="D877" i="3"/>
  <c r="H877" i="3"/>
  <c r="C877" i="3" s="1"/>
  <c r="H878" i="3" l="1" a="1"/>
  <c r="F878" i="3" l="1"/>
  <c r="E878" i="3"/>
  <c r="D878" i="3"/>
  <c r="H878" i="3"/>
  <c r="C878" i="3" s="1"/>
  <c r="H879" i="3" l="1" a="1"/>
  <c r="F879" i="3" l="1"/>
  <c r="H879" i="3"/>
  <c r="C879" i="3" s="1"/>
  <c r="D879" i="3"/>
  <c r="E879" i="3"/>
  <c r="H880" i="3" l="1" a="1"/>
  <c r="F880" i="3" l="1"/>
  <c r="H880" i="3"/>
  <c r="C880" i="3" s="1"/>
  <c r="E880" i="3"/>
  <c r="D880" i="3"/>
  <c r="H881" i="3" l="1" a="1"/>
  <c r="F881" i="3" l="1"/>
  <c r="H881" i="3"/>
  <c r="C881" i="3" s="1"/>
  <c r="E881" i="3"/>
  <c r="D881" i="3"/>
  <c r="H882" i="3" l="1" a="1"/>
  <c r="F882" i="3" l="1"/>
  <c r="H882" i="3"/>
  <c r="C882" i="3" s="1"/>
  <c r="E882" i="3"/>
  <c r="D882" i="3"/>
  <c r="H883" i="3" l="1" a="1"/>
  <c r="F883" i="3" l="1"/>
  <c r="D883" i="3"/>
  <c r="H883" i="3"/>
  <c r="C883" i="3" s="1"/>
  <c r="E883" i="3"/>
  <c r="H884" i="3" l="1" a="1"/>
  <c r="H884" i="3" l="1"/>
  <c r="C884" i="3" s="1"/>
  <c r="D884" i="3"/>
  <c r="E884" i="3"/>
  <c r="F884" i="3"/>
  <c r="H885" i="3" l="1" a="1"/>
  <c r="F885" i="3" l="1"/>
  <c r="H885" i="3"/>
  <c r="C885" i="3" s="1"/>
  <c r="E885" i="3"/>
  <c r="D885" i="3"/>
  <c r="H886" i="3" l="1" a="1"/>
  <c r="F886" i="3" l="1"/>
  <c r="E886" i="3"/>
  <c r="H886" i="3"/>
  <c r="C886" i="3" s="1"/>
  <c r="D886" i="3"/>
  <c r="H887" i="3" l="1" a="1"/>
  <c r="F887" i="3" l="1"/>
  <c r="D887" i="3"/>
  <c r="H887" i="3"/>
  <c r="C887" i="3" s="1"/>
  <c r="E887" i="3"/>
  <c r="H888" i="3" l="1" a="1"/>
  <c r="F888" i="3" l="1"/>
  <c r="H888" i="3"/>
  <c r="C888" i="3" s="1"/>
  <c r="D888" i="3"/>
  <c r="E888" i="3"/>
  <c r="H889" i="3" l="1" a="1"/>
  <c r="F889" i="3" l="1"/>
  <c r="H889" i="3"/>
  <c r="C889" i="3" s="1"/>
  <c r="E889" i="3"/>
  <c r="D889" i="3"/>
  <c r="H890" i="3" l="1" a="1"/>
  <c r="F890" i="3" l="1"/>
  <c r="H890" i="3"/>
  <c r="C890" i="3" s="1"/>
  <c r="E890" i="3"/>
  <c r="D890" i="3"/>
  <c r="H891" i="3" l="1" a="1"/>
  <c r="F891" i="3" l="1"/>
  <c r="H891" i="3"/>
  <c r="C891" i="3" s="1"/>
  <c r="E891" i="3"/>
  <c r="D891" i="3"/>
  <c r="H892" i="3" l="1" a="1"/>
  <c r="F892" i="3" l="1"/>
  <c r="H892" i="3"/>
  <c r="C892" i="3" s="1"/>
  <c r="D892" i="3"/>
  <c r="E892" i="3"/>
  <c r="H893" i="3" l="1" a="1"/>
  <c r="F893" i="3" l="1"/>
  <c r="H893" i="3"/>
  <c r="C893" i="3" s="1"/>
  <c r="D893" i="3"/>
  <c r="E893" i="3"/>
  <c r="H894" i="3" l="1" a="1"/>
  <c r="F894" i="3" l="1"/>
  <c r="H894" i="3"/>
  <c r="C894" i="3" s="1"/>
  <c r="D894" i="3"/>
  <c r="E894" i="3"/>
  <c r="H895" i="3" l="1" a="1"/>
  <c r="F895" i="3" l="1"/>
  <c r="E895" i="3"/>
  <c r="D895" i="3"/>
  <c r="H895" i="3"/>
  <c r="C895" i="3" s="1"/>
  <c r="H896" i="3" l="1" a="1"/>
  <c r="F896" i="3" l="1"/>
  <c r="H896" i="3"/>
  <c r="C896" i="3" s="1"/>
  <c r="D896" i="3"/>
  <c r="E896" i="3"/>
  <c r="H897" i="3" l="1" a="1"/>
  <c r="F897" i="3" l="1"/>
  <c r="D897" i="3"/>
  <c r="H897" i="3"/>
  <c r="C897" i="3" s="1"/>
  <c r="E897" i="3"/>
  <c r="H898" i="3" l="1" a="1"/>
  <c r="F898" i="3" l="1"/>
  <c r="H898" i="3"/>
  <c r="C898" i="3" s="1"/>
  <c r="E898" i="3"/>
  <c r="D898" i="3"/>
  <c r="H899" i="3" l="1" a="1"/>
  <c r="F899" i="3" l="1"/>
  <c r="H899" i="3"/>
  <c r="C899" i="3" s="1"/>
  <c r="D899" i="3"/>
  <c r="E899" i="3"/>
  <c r="H900" i="3" l="1" a="1"/>
  <c r="F900" i="3" l="1"/>
  <c r="H900" i="3"/>
  <c r="C900" i="3" s="1"/>
  <c r="E900" i="3"/>
  <c r="D900" i="3"/>
  <c r="H901" i="3" l="1" a="1"/>
  <c r="F901" i="3" l="1"/>
  <c r="D901" i="3"/>
  <c r="E901" i="3"/>
  <c r="H901" i="3"/>
  <c r="C901" i="3" s="1"/>
  <c r="H902" i="3" l="1" a="1"/>
  <c r="F902" i="3" l="1"/>
  <c r="E902" i="3"/>
  <c r="H902" i="3"/>
  <c r="C902" i="3" s="1"/>
  <c r="D902" i="3"/>
  <c r="H903" i="3" l="1" a="1"/>
  <c r="F903" i="3" l="1"/>
  <c r="H903" i="3"/>
  <c r="C903" i="3" s="1"/>
  <c r="D903" i="3"/>
  <c r="E903" i="3"/>
  <c r="H904" i="3" l="1" a="1"/>
  <c r="F904" i="3" l="1"/>
  <c r="E904" i="3"/>
  <c r="H904" i="3"/>
  <c r="C904" i="3" s="1"/>
  <c r="D904" i="3"/>
  <c r="H905" i="3" l="1" a="1"/>
  <c r="F905" i="3" l="1"/>
  <c r="H905" i="3"/>
  <c r="C905" i="3" s="1"/>
  <c r="E905" i="3"/>
  <c r="D905" i="3"/>
  <c r="H906" i="3" l="1" a="1"/>
  <c r="F906" i="3" l="1"/>
  <c r="H906" i="3"/>
  <c r="C906" i="3" s="1"/>
  <c r="D906" i="3"/>
  <c r="E906" i="3"/>
  <c r="H907" i="3" l="1" a="1"/>
  <c r="F907" i="3" l="1"/>
  <c r="E907" i="3"/>
  <c r="H907" i="3"/>
  <c r="C907" i="3" s="1"/>
  <c r="D907" i="3"/>
  <c r="H908" i="3" l="1" a="1"/>
  <c r="F908" i="3" l="1"/>
  <c r="D908" i="3"/>
  <c r="E908" i="3"/>
  <c r="H908" i="3"/>
  <c r="C908" i="3" s="1"/>
  <c r="H909" i="3" l="1" a="1"/>
  <c r="F909" i="3" l="1"/>
  <c r="E909" i="3"/>
  <c r="H909" i="3"/>
  <c r="C909" i="3" s="1"/>
  <c r="D909" i="3"/>
  <c r="H910" i="3" l="1" a="1"/>
  <c r="F910" i="3" l="1"/>
  <c r="E910" i="3"/>
  <c r="H910" i="3"/>
  <c r="C910" i="3" s="1"/>
  <c r="D910" i="3"/>
  <c r="H911" i="3" l="1" a="1"/>
  <c r="F911" i="3" l="1"/>
  <c r="H911" i="3"/>
  <c r="C911" i="3" s="1"/>
  <c r="D911" i="3"/>
  <c r="E911" i="3"/>
  <c r="H912" i="3" l="1" a="1"/>
  <c r="F912" i="3" l="1"/>
  <c r="H912" i="3"/>
  <c r="C912" i="3" s="1"/>
  <c r="D912" i="3"/>
  <c r="E912" i="3"/>
  <c r="H913" i="3" l="1" a="1"/>
  <c r="F913" i="3" l="1"/>
  <c r="D913" i="3"/>
  <c r="H913" i="3"/>
  <c r="C913" i="3" s="1"/>
  <c r="E913" i="3"/>
  <c r="H914" i="3" l="1" a="1"/>
  <c r="F914" i="3" l="1"/>
  <c r="H914" i="3"/>
  <c r="C914" i="3" s="1"/>
  <c r="E914" i="3"/>
  <c r="D914" i="3"/>
  <c r="H915" i="3" l="1" a="1"/>
  <c r="F915" i="3" l="1"/>
  <c r="H915" i="3"/>
  <c r="C915" i="3" s="1"/>
  <c r="E915" i="3"/>
  <c r="D915" i="3"/>
  <c r="H916" i="3" l="1" a="1"/>
  <c r="F916" i="3" l="1"/>
  <c r="E916" i="3"/>
  <c r="H916" i="3"/>
  <c r="C916" i="3" s="1"/>
  <c r="D916" i="3"/>
  <c r="H917" i="3" l="1" a="1"/>
  <c r="F917" i="3" l="1"/>
  <c r="H917" i="3"/>
  <c r="C917" i="3" s="1"/>
  <c r="D917" i="3"/>
  <c r="E917" i="3"/>
  <c r="H918" i="3" l="1" a="1"/>
  <c r="F918" i="3" l="1"/>
  <c r="D918" i="3"/>
  <c r="H918" i="3"/>
  <c r="C918" i="3" s="1"/>
  <c r="E918" i="3"/>
  <c r="H919" i="3" l="1" a="1"/>
  <c r="D919" i="3" l="1"/>
  <c r="F919" i="3"/>
  <c r="E919" i="3"/>
  <c r="H919" i="3"/>
  <c r="C919" i="3" s="1"/>
  <c r="H920" i="3" l="1" a="1"/>
  <c r="F920" i="3" l="1"/>
  <c r="H920" i="3"/>
  <c r="C920" i="3" s="1"/>
  <c r="D920" i="3"/>
  <c r="E920" i="3"/>
  <c r="H921" i="3" l="1" a="1"/>
  <c r="F921" i="3" l="1"/>
  <c r="H921" i="3"/>
  <c r="C921" i="3" s="1"/>
  <c r="D921" i="3"/>
  <c r="E921" i="3"/>
  <c r="H922" i="3" l="1" a="1"/>
  <c r="E922" i="3" l="1"/>
  <c r="F922" i="3"/>
  <c r="H922" i="3"/>
  <c r="C922" i="3" s="1"/>
  <c r="D922" i="3"/>
  <c r="H923" i="3" l="1" a="1"/>
  <c r="D923" i="3" l="1"/>
  <c r="F923" i="3"/>
  <c r="E923" i="3"/>
  <c r="H923" i="3"/>
  <c r="C923" i="3" s="1"/>
  <c r="H924" i="3" l="1" a="1"/>
  <c r="F924" i="3" l="1"/>
  <c r="D924" i="3"/>
  <c r="H924" i="3"/>
  <c r="C924" i="3" s="1"/>
  <c r="E924" i="3"/>
  <c r="H925" i="3" l="1" a="1"/>
  <c r="F925" i="3" l="1"/>
  <c r="H925" i="3"/>
  <c r="C925" i="3" s="1"/>
  <c r="E925" i="3"/>
  <c r="D925" i="3"/>
  <c r="H926" i="3" l="1" a="1"/>
  <c r="F926" i="3" l="1"/>
  <c r="E926" i="3"/>
  <c r="H926" i="3"/>
  <c r="C926" i="3" s="1"/>
  <c r="D926" i="3"/>
  <c r="H927" i="3" l="1" a="1"/>
  <c r="H927" i="3" l="1"/>
  <c r="C927" i="3" s="1"/>
  <c r="D927" i="3"/>
  <c r="E927" i="3"/>
  <c r="F927" i="3"/>
  <c r="H928" i="3" l="1" a="1"/>
  <c r="E928" i="3" l="1"/>
  <c r="H928" i="3"/>
  <c r="C928" i="3" s="1"/>
  <c r="D928" i="3"/>
  <c r="F928" i="3"/>
  <c r="H929" i="3" l="1" a="1"/>
  <c r="F929" i="3" l="1"/>
  <c r="D929" i="3"/>
  <c r="E929" i="3"/>
  <c r="H929" i="3"/>
  <c r="C929" i="3" s="1"/>
  <c r="H930" i="3" l="1" a="1"/>
  <c r="D930" i="3" l="1"/>
  <c r="E930" i="3"/>
  <c r="F930" i="3"/>
  <c r="H930" i="3"/>
  <c r="C930" i="3" s="1"/>
  <c r="H931" i="3" l="1" a="1"/>
  <c r="D931" i="3" l="1"/>
  <c r="F931" i="3"/>
  <c r="E931" i="3"/>
  <c r="H931" i="3"/>
  <c r="C931" i="3" s="1"/>
  <c r="H932" i="3" l="1" a="1"/>
  <c r="F932" i="3" l="1"/>
  <c r="H932" i="3"/>
  <c r="C932" i="3" s="1"/>
  <c r="D932" i="3"/>
  <c r="E932" i="3"/>
  <c r="H933" i="3" l="1" a="1"/>
  <c r="F933" i="3" s="1"/>
  <c r="D933" i="3" l="1"/>
  <c r="H933" i="3"/>
  <c r="C933" i="3" s="1"/>
  <c r="H934" i="3" s="1" a="1"/>
  <c r="E933" i="3"/>
  <c r="F934" i="3" l="1"/>
  <c r="E934" i="3"/>
  <c r="H934" i="3"/>
  <c r="C934" i="3" s="1"/>
  <c r="D934" i="3"/>
  <c r="H935" i="3" l="1" a="1"/>
  <c r="H935" i="3" l="1"/>
  <c r="C935" i="3" s="1"/>
  <c r="D935" i="3"/>
  <c r="F935" i="3"/>
  <c r="E935" i="3"/>
  <c r="H936" i="3" l="1" a="1"/>
  <c r="F936" i="3" l="1"/>
  <c r="H936" i="3"/>
  <c r="C936" i="3" s="1"/>
  <c r="E936" i="3"/>
  <c r="D936" i="3"/>
  <c r="H937" i="3" l="1" a="1"/>
  <c r="F937" i="3" l="1"/>
  <c r="E937" i="3"/>
  <c r="H937" i="3"/>
  <c r="C937" i="3" s="1"/>
  <c r="D937" i="3"/>
  <c r="H938" i="3" l="1" a="1"/>
  <c r="F938" i="3" l="1"/>
  <c r="H938" i="3"/>
  <c r="C938" i="3" s="1"/>
  <c r="D938" i="3"/>
  <c r="E938" i="3"/>
  <c r="H939" i="3" l="1" a="1"/>
  <c r="F939" i="3" l="1"/>
  <c r="H939" i="3"/>
  <c r="C939" i="3" s="1"/>
  <c r="D939" i="3"/>
  <c r="E939" i="3"/>
  <c r="H940" i="3" l="1" a="1"/>
  <c r="F940" i="3" l="1"/>
  <c r="H940" i="3"/>
  <c r="C940" i="3" s="1"/>
  <c r="D940" i="3"/>
  <c r="E940" i="3"/>
  <c r="H941" i="3" l="1" a="1"/>
  <c r="F941" i="3" l="1"/>
  <c r="D941" i="3"/>
  <c r="H941" i="3"/>
  <c r="C941" i="3" s="1"/>
  <c r="E941" i="3"/>
  <c r="H942" i="3" l="1" a="1"/>
  <c r="F942" i="3" l="1"/>
  <c r="E942" i="3"/>
  <c r="D942" i="3"/>
  <c r="H942" i="3"/>
  <c r="C942" i="3" s="1"/>
  <c r="H943" i="3" l="1" a="1"/>
  <c r="F943" i="3" l="1"/>
  <c r="H943" i="3"/>
  <c r="C943" i="3" s="1"/>
  <c r="D943" i="3"/>
  <c r="E943" i="3"/>
  <c r="H944" i="3" l="1" a="1"/>
  <c r="F944" i="3" l="1"/>
  <c r="D944" i="3"/>
  <c r="H944" i="3"/>
  <c r="C944" i="3" s="1"/>
  <c r="E944" i="3"/>
  <c r="H945" i="3" l="1" a="1"/>
  <c r="F945" i="3" l="1"/>
  <c r="E945" i="3"/>
  <c r="D945" i="3"/>
  <c r="H945" i="3"/>
  <c r="C945" i="3" s="1"/>
  <c r="H946" i="3" l="1" a="1"/>
  <c r="F946" i="3" l="1"/>
  <c r="H946" i="3"/>
  <c r="C946" i="3" s="1"/>
  <c r="E946" i="3"/>
  <c r="D946" i="3"/>
  <c r="H947" i="3" l="1" a="1"/>
  <c r="F947" i="3" l="1"/>
  <c r="E947" i="3"/>
  <c r="H947" i="3"/>
  <c r="C947" i="3" s="1"/>
  <c r="D947" i="3"/>
  <c r="H948" i="3" l="1" a="1"/>
  <c r="F948" i="3" l="1"/>
  <c r="D948" i="3"/>
  <c r="E948" i="3"/>
  <c r="H948" i="3"/>
  <c r="C948" i="3" s="1"/>
  <c r="H949" i="3" l="1" a="1"/>
  <c r="F949" i="3" l="1"/>
  <c r="E949" i="3"/>
  <c r="H949" i="3"/>
  <c r="C949" i="3" s="1"/>
  <c r="D949" i="3"/>
  <c r="H950" i="3" l="1" a="1"/>
  <c r="F950" i="3" l="1"/>
  <c r="E950" i="3"/>
  <c r="H950" i="3"/>
  <c r="C950" i="3" s="1"/>
  <c r="D950" i="3"/>
  <c r="H951" i="3" l="1" a="1"/>
  <c r="F951" i="3" l="1"/>
  <c r="E951" i="3"/>
  <c r="H951" i="3"/>
  <c r="C951" i="3" s="1"/>
  <c r="D951" i="3"/>
  <c r="H952" i="3" l="1" a="1"/>
  <c r="F952" i="3" l="1"/>
  <c r="D952" i="3"/>
  <c r="H952" i="3"/>
  <c r="C952" i="3" s="1"/>
  <c r="E952" i="3"/>
  <c r="H953" i="3" l="1" a="1"/>
  <c r="F953" i="3" l="1"/>
  <c r="H953" i="3"/>
  <c r="C953" i="3" s="1"/>
  <c r="E953" i="3"/>
  <c r="D953" i="3"/>
  <c r="H954" i="3" l="1" a="1"/>
  <c r="F954" i="3" l="1"/>
  <c r="D954" i="3"/>
  <c r="H954" i="3"/>
  <c r="C954" i="3" s="1"/>
  <c r="E954" i="3"/>
  <c r="H955" i="3" l="1" a="1"/>
  <c r="F955" i="3" l="1"/>
  <c r="D955" i="3"/>
  <c r="H955" i="3"/>
  <c r="C955" i="3" s="1"/>
  <c r="E955" i="3"/>
  <c r="H956" i="3" l="1" a="1"/>
  <c r="F956" i="3" l="1"/>
  <c r="H956" i="3"/>
  <c r="C956" i="3" s="1"/>
  <c r="D956" i="3"/>
  <c r="E956" i="3"/>
  <c r="H957" i="3" l="1" a="1"/>
  <c r="F957" i="3" l="1"/>
  <c r="E957" i="3"/>
  <c r="H957" i="3"/>
  <c r="C957" i="3" s="1"/>
  <c r="D957" i="3"/>
  <c r="H958" i="3" l="1" a="1"/>
  <c r="F958" i="3" l="1"/>
  <c r="D958" i="3"/>
  <c r="H958" i="3"/>
  <c r="C958" i="3" s="1"/>
  <c r="E958" i="3"/>
  <c r="H959" i="3" l="1" a="1"/>
  <c r="F959" i="3" l="1"/>
  <c r="D959" i="3"/>
  <c r="H959" i="3"/>
  <c r="C959" i="3" s="1"/>
  <c r="E959" i="3"/>
  <c r="H960" i="3" l="1" a="1"/>
  <c r="F960" i="3" l="1"/>
  <c r="D960" i="3"/>
  <c r="H960" i="3"/>
  <c r="C960" i="3" s="1"/>
  <c r="E960" i="3"/>
  <c r="H961" i="3" l="1" a="1"/>
  <c r="E961" i="3" l="1"/>
  <c r="H961" i="3"/>
  <c r="C961" i="3" s="1"/>
  <c r="F961" i="3"/>
  <c r="D961" i="3"/>
  <c r="H962" i="3" l="1" a="1"/>
  <c r="F962" i="3" l="1"/>
  <c r="H962" i="3"/>
  <c r="C962" i="3" s="1"/>
  <c r="E962" i="3"/>
  <c r="D962" i="3"/>
  <c r="H963" i="3" l="1" a="1"/>
  <c r="F963" i="3" l="1"/>
  <c r="H963" i="3"/>
  <c r="C963" i="3" s="1"/>
  <c r="E963" i="3"/>
  <c r="D963" i="3"/>
  <c r="H964" i="3" l="1" a="1"/>
  <c r="F964" i="3" l="1"/>
  <c r="D964" i="3"/>
  <c r="H964" i="3"/>
  <c r="C964" i="3" s="1"/>
  <c r="E964" i="3"/>
  <c r="H965" i="3" l="1" a="1"/>
  <c r="F965" i="3" l="1"/>
  <c r="D965" i="3"/>
  <c r="H965" i="3"/>
  <c r="C965" i="3" s="1"/>
  <c r="E965" i="3"/>
  <c r="H966" i="3" l="1" a="1"/>
  <c r="F966" i="3" l="1"/>
  <c r="H966" i="3"/>
  <c r="C966" i="3" s="1"/>
  <c r="E966" i="3"/>
  <c r="D966" i="3"/>
  <c r="H967" i="3" l="1" a="1"/>
  <c r="H967" i="3" l="1"/>
  <c r="C967" i="3" s="1"/>
  <c r="F967" i="3"/>
  <c r="D967" i="3"/>
  <c r="E967" i="3"/>
  <c r="H968" i="3" l="1" a="1"/>
  <c r="H968" i="3" l="1"/>
  <c r="C968" i="3" s="1"/>
  <c r="F968" i="3"/>
  <c r="D968" i="3"/>
  <c r="E968" i="3"/>
  <c r="H969" i="3" l="1" a="1"/>
  <c r="H969" i="3" l="1"/>
  <c r="C969" i="3" s="1"/>
  <c r="E969" i="3"/>
  <c r="F969" i="3"/>
  <c r="D969" i="3"/>
  <c r="H970" i="3" l="1" a="1"/>
  <c r="E970" i="3" l="1"/>
  <c r="F970" i="3"/>
  <c r="H970" i="3"/>
  <c r="C970" i="3" s="1"/>
  <c r="D970" i="3"/>
  <c r="H971" i="3" l="1" a="1"/>
  <c r="F971" i="3" l="1"/>
  <c r="D971" i="3"/>
  <c r="H971" i="3"/>
  <c r="C971" i="3" s="1"/>
  <c r="E971" i="3"/>
  <c r="H972" i="3" l="1" a="1"/>
  <c r="F972" i="3" l="1"/>
  <c r="E972" i="3"/>
  <c r="H972" i="3"/>
  <c r="C972" i="3" s="1"/>
  <c r="D972" i="3"/>
  <c r="H973" i="3" l="1" a="1"/>
  <c r="F973" i="3" l="1"/>
  <c r="E973" i="3"/>
  <c r="D973" i="3"/>
  <c r="H973" i="3"/>
  <c r="C973" i="3" s="1"/>
  <c r="H974" i="3" l="1" a="1"/>
  <c r="F974" i="3" l="1"/>
  <c r="E974" i="3"/>
  <c r="H974" i="3"/>
  <c r="C974" i="3" s="1"/>
  <c r="D974" i="3"/>
  <c r="H975" i="3" l="1" a="1"/>
  <c r="F975" i="3" l="1"/>
  <c r="D975" i="3"/>
  <c r="H975" i="3"/>
  <c r="C975" i="3" s="1"/>
  <c r="E975" i="3"/>
  <c r="H976" i="3" l="1" a="1"/>
  <c r="F976" i="3" l="1"/>
  <c r="D976" i="3"/>
  <c r="H976" i="3"/>
  <c r="C976" i="3" s="1"/>
  <c r="E976" i="3"/>
  <c r="H977" i="3" l="1" a="1"/>
  <c r="D977" i="3" l="1"/>
  <c r="F977" i="3"/>
  <c r="H977" i="3"/>
  <c r="C977" i="3" s="1"/>
  <c r="E977" i="3"/>
  <c r="H978" i="3" l="1" a="1"/>
  <c r="E978" i="3" l="1"/>
  <c r="H978" i="3"/>
  <c r="C978" i="3" s="1"/>
  <c r="D978" i="3"/>
  <c r="F978" i="3"/>
  <c r="H979" i="3" l="1" a="1"/>
  <c r="H979" i="3" l="1"/>
  <c r="C979" i="3" s="1"/>
  <c r="E979" i="3"/>
  <c r="F979" i="3"/>
  <c r="D979" i="3"/>
  <c r="H980" i="3" l="1" a="1"/>
  <c r="F980" i="3" l="1"/>
  <c r="H980" i="3"/>
  <c r="C980" i="3" s="1"/>
  <c r="E980" i="3"/>
  <c r="D980" i="3"/>
  <c r="H981" i="3" l="1" a="1"/>
  <c r="F981" i="3" l="1"/>
  <c r="D981" i="3"/>
  <c r="H981" i="3"/>
  <c r="C981" i="3" s="1"/>
  <c r="E981" i="3"/>
  <c r="H982" i="3" l="1" a="1"/>
  <c r="H982" i="3" l="1"/>
  <c r="C982" i="3" s="1"/>
  <c r="E982" i="3"/>
  <c r="F982" i="3"/>
  <c r="D982" i="3"/>
  <c r="H983" i="3" l="1" a="1"/>
  <c r="F983" i="3" l="1"/>
  <c r="E983" i="3"/>
  <c r="H983" i="3"/>
  <c r="C983" i="3" s="1"/>
  <c r="D983" i="3"/>
  <c r="H984" i="3" l="1" a="1"/>
  <c r="D984" i="3" l="1"/>
  <c r="F984" i="3"/>
  <c r="H984" i="3"/>
  <c r="C984" i="3" s="1"/>
  <c r="E984" i="3"/>
  <c r="H985" i="3" l="1" a="1"/>
  <c r="F985" i="3" l="1"/>
  <c r="H985" i="3"/>
  <c r="C985" i="3" s="1"/>
  <c r="E985" i="3"/>
  <c r="D985" i="3"/>
  <c r="H986" i="3" l="1" a="1"/>
  <c r="F986" i="3" l="1"/>
  <c r="D986" i="3"/>
  <c r="H986" i="3"/>
  <c r="C986" i="3" s="1"/>
  <c r="E986" i="3"/>
  <c r="H987" i="3" l="1" a="1"/>
  <c r="F987" i="3" l="1"/>
  <c r="E987" i="3"/>
  <c r="H987" i="3"/>
  <c r="C987" i="3" s="1"/>
  <c r="D987" i="3"/>
  <c r="H988" i="3" l="1" a="1"/>
  <c r="F988" i="3" l="1"/>
  <c r="H988" i="3"/>
  <c r="C988" i="3" s="1"/>
  <c r="D988" i="3"/>
  <c r="E988" i="3"/>
  <c r="H989" i="3" l="1" a="1"/>
  <c r="D989" i="3" l="1"/>
  <c r="F989" i="3"/>
  <c r="H989" i="3"/>
  <c r="C989" i="3" s="1"/>
  <c r="E989" i="3"/>
  <c r="H990" i="3" l="1" a="1"/>
  <c r="D990" i="3" l="1"/>
  <c r="H990" i="3"/>
  <c r="C990" i="3" s="1"/>
  <c r="E990" i="3"/>
  <c r="F990" i="3"/>
  <c r="H991" i="3" l="1" a="1"/>
  <c r="D991" i="3" l="1"/>
  <c r="H991" i="3"/>
  <c r="C991" i="3" s="1"/>
  <c r="E991" i="3"/>
  <c r="F991" i="3"/>
  <c r="H992" i="3" l="1" a="1"/>
  <c r="F992" i="3" l="1"/>
  <c r="D992" i="3"/>
  <c r="H992" i="3"/>
  <c r="C992" i="3" s="1"/>
  <c r="E992" i="3"/>
  <c r="H993" i="3" l="1" a="1"/>
  <c r="H993" i="3" l="1"/>
  <c r="C993" i="3" s="1"/>
  <c r="E993" i="3"/>
  <c r="F993" i="3"/>
  <c r="D993" i="3"/>
  <c r="H994" i="3" l="1" a="1"/>
  <c r="F994" i="3" l="1"/>
  <c r="E994" i="3"/>
  <c r="D994" i="3"/>
  <c r="H994" i="3"/>
  <c r="C994" i="3" s="1"/>
  <c r="H995" i="3" l="1" a="1"/>
  <c r="D995" i="3" l="1"/>
  <c r="H995" i="3"/>
  <c r="C995" i="3" s="1"/>
  <c r="E995" i="3"/>
  <c r="F995" i="3"/>
  <c r="H996" i="3" l="1" a="1"/>
  <c r="E996" i="3" l="1"/>
  <c r="D996" i="3"/>
  <c r="F996" i="3"/>
  <c r="H996" i="3"/>
  <c r="C996" i="3" s="1"/>
  <c r="H997" i="3" l="1" a="1"/>
  <c r="H997" i="3" l="1"/>
  <c r="C997" i="3" s="1"/>
  <c r="F997" i="3"/>
  <c r="D997" i="3"/>
  <c r="E997" i="3"/>
  <c r="H998" i="3" l="1" a="1"/>
  <c r="F998" i="3" l="1"/>
  <c r="E998" i="3"/>
  <c r="H998" i="3"/>
  <c r="C998" i="3" s="1"/>
  <c r="D998" i="3"/>
  <c r="H999" i="3" l="1" a="1"/>
  <c r="F999" i="3" l="1"/>
  <c r="H999" i="3"/>
  <c r="C999" i="3" s="1"/>
  <c r="D999" i="3"/>
  <c r="E999" i="3"/>
  <c r="H1000" i="3" l="1" a="1"/>
  <c r="D1000" i="3" l="1"/>
  <c r="F1000" i="3"/>
  <c r="H1000" i="3"/>
  <c r="C1000" i="3" s="1"/>
  <c r="E1000" i="3"/>
  <c r="H1001" i="3" l="1" a="1"/>
  <c r="F1001" i="3" l="1"/>
  <c r="H1001" i="3"/>
  <c r="C1001" i="3" s="1"/>
  <c r="D1001" i="3"/>
  <c r="E1001" i="3"/>
  <c r="H1002" i="3" l="1" a="1"/>
  <c r="H1002" i="3" l="1"/>
  <c r="C1002" i="3" s="1"/>
  <c r="E1002" i="3"/>
  <c r="F1002" i="3"/>
  <c r="G1002" i="3" s="1"/>
  <c r="G8" i="4" s="1"/>
  <c r="D1002" i="3"/>
  <c r="G11" i="4" l="1"/>
  <c r="I10" i="4"/>
  <c r="G10" i="4"/>
  <c r="H10" i="4"/>
  <c r="H11" i="4"/>
  <c r="F14" i="4"/>
  <c r="F11" i="4"/>
  <c r="G13" i="4" s="1"/>
  <c r="I11" i="4"/>
  <c r="F13" i="4"/>
  <c r="F10" i="4"/>
  <c r="G14" i="4" l="1"/>
  <c r="C19" i="4"/>
  <c r="D17" i="4"/>
  <c r="B17" i="4"/>
  <c r="C17" i="4"/>
  <c r="C20" i="4"/>
  <c r="C21" i="4" l="1"/>
  <c r="C22" i="4" s="1"/>
  <c r="O7" i="4" s="1"/>
  <c r="O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<sst xmlns="http://schemas.openxmlformats.org/spreadsheetml/2006/main" count="76" uniqueCount="48">
  <si>
    <t>Value</t>
  </si>
  <si>
    <t>Inputs</t>
  </si>
  <si>
    <t>Probability Matrix</t>
  </si>
  <si>
    <t>Inactive</t>
  </si>
  <si>
    <t>Churned</t>
  </si>
  <si>
    <t>Basic Plan</t>
  </si>
  <si>
    <t>Premium Plan</t>
  </si>
  <si>
    <t>Population Growth</t>
  </si>
  <si>
    <t>Basic Plan Monthly Price</t>
  </si>
  <si>
    <t>Premium Plan Monthly Price</t>
  </si>
  <si>
    <t>Subscriber Growth</t>
  </si>
  <si>
    <t>Beginning Active Subscribers</t>
  </si>
  <si>
    <t>Pricing</t>
  </si>
  <si>
    <t>Gross Margin %</t>
  </si>
  <si>
    <t>Customer Acquisition Cost</t>
  </si>
  <si>
    <t>Initial Subscriber Spread</t>
  </si>
  <si>
    <t>Beginning Basic Plan Customers %</t>
  </si>
  <si>
    <t>Basic Plan Growth Share</t>
  </si>
  <si>
    <t>Premium Plan Growth Share</t>
  </si>
  <si>
    <t>Beginning Premium Plan Customers %</t>
  </si>
  <si>
    <t>Beginning Inactive Customers %</t>
  </si>
  <si>
    <t>Initial Subscriber Vector (Month 0)</t>
  </si>
  <si>
    <t>New Signups (Month 1)</t>
  </si>
  <si>
    <t>New Signups Growth Per Month</t>
  </si>
  <si>
    <t>Population Growth Vector (Month 1)</t>
  </si>
  <si>
    <t>Mmult Engine</t>
  </si>
  <si>
    <t>The Month Growth Flattens Out</t>
  </si>
  <si>
    <t>What is it?</t>
  </si>
  <si>
    <t>Saturation</t>
  </si>
  <si>
    <t>Month</t>
  </si>
  <si>
    <t>Outputs</t>
  </si>
  <si>
    <t>Revenue</t>
  </si>
  <si>
    <t>Total Monthly Revenue</t>
  </si>
  <si>
    <t>Total Annual Revenue</t>
  </si>
  <si>
    <t>Total</t>
  </si>
  <si>
    <t>Did we find a Terminal Value?</t>
  </si>
  <si>
    <t>Blended Average Revenue Per Customer</t>
  </si>
  <si>
    <t>Terminal Revenue Cap</t>
  </si>
  <si>
    <t>Basic Revenue Cap</t>
  </si>
  <si>
    <t>Premium Revenue Cap</t>
  </si>
  <si>
    <t>Max Monthly Revenue Cap</t>
  </si>
  <si>
    <t>Max Annual Revenue Cap</t>
  </si>
  <si>
    <t>Terminal Cap</t>
  </si>
  <si>
    <t>Current ARR</t>
  </si>
  <si>
    <t>Growth Opportunity</t>
  </si>
  <si>
    <t>Potential Subscribers Reached</t>
  </si>
  <si>
    <t>Monthly Revenue from Basic Plans</t>
  </si>
  <si>
    <t>Monthly Revenue from Premium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</si>
</sst>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2" applyFont="1"/>
    <xf numFmtId="10" fontId="0" fillId="0" borderId="0" xfId="2" applyNumberFormat="1" applyFont="1"/>
    <xf numFmtId="0" fontId="0" fillId="0" borderId="1" xfId="0" applyBorder="1"/>
    <xf numFmtId="9" fontId="0" fillId="2" borderId="1" xfId="0" applyNumberFormat="1" applyFill="1" applyBorder="1"/>
    <xf numFmtId="0" fontId="2" fillId="0" borderId="0" xfId="0" applyFont="1"/>
    <xf numFmtId="164" fontId="0" fillId="0" borderId="0" xfId="0" applyNumberFormat="1"/>
    <xf numFmtId="164" fontId="0" fillId="2" borderId="1" xfId="0" applyNumberFormat="1" applyFill="1" applyBorder="1"/>
    <xf numFmtId="165" fontId="0" fillId="2" borderId="1" xfId="3" applyNumberFormat="1" applyFont="1" applyFill="1" applyBorder="1"/>
    <xf numFmtId="37" fontId="0" fillId="2" borderId="1" xfId="3" applyNumberFormat="1" applyFont="1" applyFill="1" applyBorder="1"/>
    <xf numFmtId="165" fontId="0" fillId="0" borderId="0" xfId="0" applyNumberFormat="1"/>
    <xf numFmtId="164" fontId="0" fillId="2" borderId="1" xfId="1" applyNumberFormat="1" applyFont="1" applyFill="1" applyBorder="1"/>
    <xf numFmtId="37" fontId="0" fillId="0" borderId="0" xfId="0" applyNumberFormat="1"/>
    <xf numFmtId="9" fontId="0" fillId="2" borderId="1" xfId="2" applyFont="1" applyFill="1" applyBorder="1"/>
    <xf numFmtId="37" fontId="0" fillId="0" borderId="0" xfId="3" applyNumberFormat="1" applyFont="1"/>
    <xf numFmtId="9" fontId="0" fillId="0" borderId="1" xfId="2" applyFont="1" applyBorder="1"/>
    <xf numFmtId="1" fontId="0" fillId="2" borderId="1" xfId="2" applyNumberFormat="1" applyFont="1" applyFill="1" applyBorder="1"/>
    <xf numFmtId="0" fontId="0" fillId="2" borderId="0" xfId="0" applyFill="1"/>
    <xf numFmtId="166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Potential Growth Given Inputs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Potential Growth Given Inputs</a:t>
          </a:r>
        </a:p>
      </cx:txPr>
    </cx:title>
    <cx:plotArea>
      <cx:plotAreaRegion>
        <cx:series layoutId="waterfall" uniqueId="{576509E2-0E18-4EF2-9E8A-EB67D9685D1D}" formatIdx="0">
          <cx:dataPt idx="1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E8E8E8">
                  <a:lumMod val="50000"/>
                </a:srgbClr>
              </a:solidFill>
            </cx:spPr>
          </cx:dataPt>
          <cx:dataLabels>
            <cx:visibility seriesName="0" categoryName="0" value="1"/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377824</xdr:colOff>
      <xdr:row>14</xdr:row>
      <xdr:rowOff>177800</xdr:rowOff>
    </xdr:from>
    <xdr:to>
      <xdr:col>12</xdr:col>
      <xdr:colOff>6349</xdr:colOff>
      <xdr:row>32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D234D8-326C-A083-58D0-64F4FE7337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5424" y="2806700"/>
              <a:ext cx="5972175" cy="3143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52EC-7052-426B-91EE-11FCBA665DCF}">
  <dimension ref="A1:I29"/>
  <sheetViews>
    <sheetView topLeftCell="B1" workbookViewId="0">
      <selection activeCell="E11" sqref="E11"/>
    </sheetView>
  </sheetViews>
  <sheetFormatPr defaultRowHeight="14.5" x14ac:dyDescent="0.35"/>
  <cols>
    <col min="1" max="1" width="20.453125" bestFit="1" customWidth="1"/>
    <col min="2" max="2" width="31.81640625" bestFit="1" customWidth="1"/>
    <col min="3" max="3" width="13.81640625" bestFit="1" customWidth="1"/>
    <col min="5" max="5" width="30" bestFit="1" customWidth="1"/>
    <col min="6" max="6" width="17.36328125" bestFit="1" customWidth="1"/>
    <col min="7" max="7" width="18.7265625" bestFit="1" customWidth="1"/>
    <col min="8" max="8" width="7.1796875" bestFit="1" customWidth="1"/>
    <col min="9" max="9" width="7.7265625" bestFit="1" customWidth="1"/>
    <col min="14" max="14" width="14.1796875" bestFit="1" customWidth="1"/>
    <col min="15" max="16" width="9.54296875" bestFit="1" customWidth="1"/>
  </cols>
  <sheetData>
    <row r="1" spans="1:9" x14ac:dyDescent="0.35">
      <c r="A1" s="20" t="s">
        <v>1</v>
      </c>
      <c r="B1" s="20"/>
      <c r="C1" s="20"/>
    </row>
    <row r="2" spans="1:9" x14ac:dyDescent="0.35">
      <c r="A2" s="3" t="s">
        <v>10</v>
      </c>
      <c r="B2" s="3" t="s">
        <v>22</v>
      </c>
      <c r="C2" s="8">
        <v>20000</v>
      </c>
    </row>
    <row r="3" spans="1:9" x14ac:dyDescent="0.35">
      <c r="B3" s="3" t="s">
        <v>23</v>
      </c>
      <c r="C3" s="13">
        <v>0.01</v>
      </c>
    </row>
    <row r="4" spans="1:9" x14ac:dyDescent="0.35">
      <c r="B4" s="3" t="s">
        <v>26</v>
      </c>
      <c r="C4" s="16">
        <v>500</v>
      </c>
    </row>
    <row r="5" spans="1:9" x14ac:dyDescent="0.35">
      <c r="B5" s="3" t="s">
        <v>17</v>
      </c>
      <c r="C5" s="4">
        <v>0.7</v>
      </c>
    </row>
    <row r="6" spans="1:9" x14ac:dyDescent="0.35">
      <c r="B6" s="3" t="s">
        <v>18</v>
      </c>
      <c r="C6" s="4">
        <v>0.3</v>
      </c>
    </row>
    <row r="7" spans="1:9" x14ac:dyDescent="0.35">
      <c r="A7" s="3" t="s">
        <v>15</v>
      </c>
      <c r="B7" s="3" t="s">
        <v>11</v>
      </c>
      <c r="C7" s="9">
        <v>1000000</v>
      </c>
    </row>
    <row r="8" spans="1:9" x14ac:dyDescent="0.35">
      <c r="B8" s="3" t="s">
        <v>16</v>
      </c>
      <c r="C8" s="13">
        <v>0.64</v>
      </c>
    </row>
    <row r="9" spans="1:9" x14ac:dyDescent="0.35">
      <c r="B9" s="3" t="s">
        <v>19</v>
      </c>
      <c r="C9" s="13">
        <v>0.33</v>
      </c>
    </row>
    <row r="10" spans="1:9" x14ac:dyDescent="0.35">
      <c r="B10" s="3" t="s">
        <v>20</v>
      </c>
      <c r="C10" s="15">
        <f>1-(C9+C8)</f>
        <v>3.0000000000000027E-2</v>
      </c>
    </row>
    <row r="11" spans="1:9" x14ac:dyDescent="0.35">
      <c r="A11" s="3" t="s">
        <v>12</v>
      </c>
      <c r="B11" s="3" t="s">
        <v>8</v>
      </c>
      <c r="C11" s="7">
        <v>15</v>
      </c>
    </row>
    <row r="12" spans="1:9" x14ac:dyDescent="0.35">
      <c r="B12" s="3" t="s">
        <v>9</v>
      </c>
      <c r="C12" s="7">
        <v>22</v>
      </c>
    </row>
    <row r="13" spans="1:9" x14ac:dyDescent="0.35">
      <c r="B13" s="3" t="s">
        <v>13</v>
      </c>
      <c r="C13" s="4">
        <v>0.45</v>
      </c>
    </row>
    <row r="14" spans="1:9" x14ac:dyDescent="0.35">
      <c r="B14" s="3" t="s">
        <v>14</v>
      </c>
      <c r="C14" s="11">
        <v>120</v>
      </c>
    </row>
    <row r="15" spans="1:9" x14ac:dyDescent="0.35">
      <c r="E15" t="s">
        <v>2</v>
      </c>
    </row>
    <row r="16" spans="1:9" x14ac:dyDescent="0.35">
      <c r="E16" t="s">
        <v>0</v>
      </c>
      <c r="F16" t="s">
        <v>5</v>
      </c>
      <c r="G16" t="s">
        <v>6</v>
      </c>
      <c r="H16" t="s">
        <v>3</v>
      </c>
      <c r="I16" t="s">
        <v>4</v>
      </c>
    </row>
    <row r="17" spans="5:9" x14ac:dyDescent="0.35">
      <c r="E17" t="s">
        <v>5</v>
      </c>
      <c r="F17" s="1">
        <v>0.94</v>
      </c>
      <c r="G17" s="1">
        <v>0.02</v>
      </c>
      <c r="H17" s="1">
        <v>0.01</v>
      </c>
      <c r="I17" s="1">
        <v>0.03</v>
      </c>
    </row>
    <row r="18" spans="5:9" x14ac:dyDescent="0.35">
      <c r="E18" t="s">
        <v>6</v>
      </c>
      <c r="F18" s="1">
        <v>0.01</v>
      </c>
      <c r="G18" s="1">
        <v>0.95</v>
      </c>
      <c r="H18" s="1">
        <v>0.01</v>
      </c>
      <c r="I18" s="1">
        <v>0.03</v>
      </c>
    </row>
    <row r="19" spans="5:9" x14ac:dyDescent="0.35">
      <c r="E19" t="s">
        <v>3</v>
      </c>
      <c r="F19" s="1">
        <v>0.1</v>
      </c>
      <c r="G19" s="1">
        <v>0.05</v>
      </c>
      <c r="H19" s="1">
        <v>0.6</v>
      </c>
      <c r="I19" s="1">
        <v>0.25</v>
      </c>
    </row>
    <row r="20" spans="5:9" x14ac:dyDescent="0.35">
      <c r="E20" t="s">
        <v>4</v>
      </c>
      <c r="F20" s="1">
        <v>0</v>
      </c>
      <c r="G20" s="1">
        <v>0</v>
      </c>
      <c r="H20" s="1">
        <v>0</v>
      </c>
      <c r="I20" s="1">
        <v>1</v>
      </c>
    </row>
    <row r="23" spans="5:9" x14ac:dyDescent="0.35">
      <c r="E23" t="s">
        <v>24</v>
      </c>
    </row>
    <row r="24" spans="5:9" x14ac:dyDescent="0.35">
      <c r="F24" t="s">
        <v>5</v>
      </c>
      <c r="G24" t="s">
        <v>6</v>
      </c>
      <c r="H24" t="s">
        <v>3</v>
      </c>
      <c r="I24" t="s">
        <v>4</v>
      </c>
    </row>
    <row r="25" spans="5:9" x14ac:dyDescent="0.35">
      <c r="F25" s="10">
        <f>C5*C2</f>
        <v>14000</v>
      </c>
      <c r="G25" s="10">
        <f>C6*C2</f>
        <v>6000</v>
      </c>
      <c r="H25">
        <v>0</v>
      </c>
      <c r="I25">
        <v>0</v>
      </c>
    </row>
    <row r="27" spans="5:9" x14ac:dyDescent="0.35">
      <c r="E27" t="s">
        <v>21</v>
      </c>
    </row>
    <row r="28" spans="5:9" x14ac:dyDescent="0.35">
      <c r="F28" t="s">
        <v>5</v>
      </c>
      <c r="G28" t="s">
        <v>6</v>
      </c>
      <c r="H28" t="s">
        <v>3</v>
      </c>
      <c r="I28" t="s">
        <v>4</v>
      </c>
    </row>
    <row r="29" spans="5:9" x14ac:dyDescent="0.35">
      <c r="F29">
        <f>C7*C8</f>
        <v>640000</v>
      </c>
      <c r="G29">
        <f>C7*C9</f>
        <v>330000</v>
      </c>
      <c r="H29">
        <f>C10*C7</f>
        <v>30000.000000000025</v>
      </c>
      <c r="I29">
        <v>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973A-4845-4C0B-8ADC-5B5E385A5D74}">
  <dimension ref="A1:P1002"/>
  <sheetViews>
    <sheetView tabSelected="1" zoomScale="79" workbookViewId="0">
      <selection activeCell="A2" sqref="A2"/>
    </sheetView>
  </sheetViews>
  <sheetFormatPr defaultRowHeight="14.5" x14ac:dyDescent="0.35"/>
  <cols>
    <col min="1" max="1" width="5.90625" bestFit="1" customWidth="1"/>
    <col min="3" max="3" width="12.08984375" style="14" bestFit="1" customWidth="1"/>
    <col min="4" max="4" width="14.1796875" style="14" bestFit="1" customWidth="1"/>
    <col min="5" max="5" width="9.54296875" style="14" bestFit="1" customWidth="1"/>
    <col min="6" max="6" width="13.1796875" style="14" bestFit="1" customWidth="1"/>
    <col min="7" max="7" width="7.54296875" style="12" customWidth="1"/>
    <col min="8" max="8" width="10.54296875" style="12" bestFit="1" customWidth="1"/>
    <col min="9" max="9" width="12.1796875" style="12" bestFit="1" customWidth="1"/>
    <col min="10" max="10" width="9.54296875" style="12" bestFit="1" customWidth="1"/>
    <col min="11" max="11" width="13.1796875" style="12" bestFit="1" customWidth="1"/>
    <col min="12" max="12" width="8.7265625" style="12"/>
    <col min="13" max="13" width="9.54296875" style="12" bestFit="1" customWidth="1"/>
    <col min="14" max="14" width="14.1796875" style="12" bestFit="1" customWidth="1"/>
    <col min="15" max="15" width="7.36328125" style="12" bestFit="1" customWidth="1"/>
    <col min="16" max="16" width="7.90625" style="12" bestFit="1" customWidth="1"/>
  </cols>
  <sheetData>
    <row r="1" spans="1:16" x14ac:dyDescent="0.35">
      <c r="A1" t="s">
        <v>29</v>
      </c>
      <c r="C1" s="14" t="s">
        <v>5</v>
      </c>
      <c r="D1" s="14" t="s">
        <v>6</v>
      </c>
      <c r="E1" s="14" t="s">
        <v>3</v>
      </c>
      <c r="F1" s="14" t="s">
        <v>4</v>
      </c>
      <c r="H1" s="21" t="s">
        <v>25</v>
      </c>
      <c r="I1" s="21"/>
      <c r="J1" s="21"/>
      <c r="K1" s="21"/>
      <c r="M1" s="21" t="s">
        <v>7</v>
      </c>
      <c r="N1" s="21"/>
      <c r="O1" s="21"/>
      <c r="P1" s="21"/>
    </row>
    <row r="2" spans="1:16" x14ac:dyDescent="0.35">
      <c r="A2">
        <v>0</v>
      </c>
      <c r="C2" s="14">
        <f>Inputs!F29</f>
        <v>640000</v>
      </c>
      <c r="D2" s="14">
        <f>Inputs!G29</f>
        <v>330000</v>
      </c>
      <c r="E2" s="14">
        <f>Inputs!H29</f>
        <v>30000.000000000025</v>
      </c>
      <c r="F2" s="14">
        <f>Inputs!I29</f>
        <v>0</v>
      </c>
      <c r="H2" s="14" t="s">
        <v>5</v>
      </c>
      <c r="I2" s="14" t="s">
        <v>6</v>
      </c>
      <c r="J2" s="14" t="s">
        <v>3</v>
      </c>
      <c r="K2" s="14" t="s">
        <v>4</v>
      </c>
      <c r="M2" s="14" t="s">
        <v>5</v>
      </c>
      <c r="N2" s="14" t="s">
        <v>6</v>
      </c>
      <c r="O2" s="14" t="s">
        <v>3</v>
      </c>
      <c r="P2" s="14" t="s">
        <v>4</v>
      </c>
    </row>
    <row r="3" spans="1:16" x14ac:dyDescent="0.35">
      <c r="A3">
        <v>1</v>
      </c>
      <c r="C3" s="14">
        <f>H3+M3</f>
        <v>621900</v>
      </c>
      <c r="D3" s="14">
        <f>I3+N3</f>
        <v>333800</v>
      </c>
      <c r="E3" s="14">
        <f>J3+O3</f>
        <v>27700.000000000015</v>
      </c>
      <c r="F3" s="14">
        <f t="shared" ref="F3:F66" si="0">(K3+P3)-F2</f>
        <v>36600.000000000007</v>
      </c>
      <c r="H3" s="14" cm="1">
        <f t="array" ref="H3:K3">MMULT($C2:$F2,P_Matrix)</f>
        <v>607900</v>
      </c>
      <c r="I3" s="14">
        <v>327800</v>
      </c>
      <c r="J3" s="14">
        <v>27700.000000000015</v>
      </c>
      <c r="K3" s="14">
        <v>36600.000000000007</v>
      </c>
      <c r="M3" s="12">
        <f>(Inputs!F$25*POWER(1+(Inputs!$C$3-(Inputs!$C$3*(('Steady State'!$A3-1)/Inputs!$C$4))),'Steady State'!$A3-1))</f>
        <v>14000</v>
      </c>
      <c r="N3" s="12">
        <f>(Inputs!G$25*POWER(1+(Inputs!$C$3-(Inputs!$C$3*(('Steady State'!$A3-1)/Inputs!$C$4))),'Steady State'!$A3-1))</f>
        <v>6000</v>
      </c>
      <c r="O3" s="12">
        <f>(Inputs!H$25*POWER(1+(Inputs!$C$3-(Inputs!$C$3*(('Steady State'!$A3-1)/Inputs!$C$4))),'Steady State'!$A3-1))</f>
        <v>0</v>
      </c>
      <c r="P3" s="12">
        <f>(Inputs!I$25*POWER(1+(Inputs!$C$3-(Inputs!$C$3*(('Steady State'!$A3-1)/Inputs!$C$4))),'Steady State'!$A3-1))</f>
        <v>0</v>
      </c>
    </row>
    <row r="4" spans="1:16" x14ac:dyDescent="0.35">
      <c r="A4">
        <v>2</v>
      </c>
      <c r="C4" s="14">
        <f t="shared" ref="C4:C67" si="1">H4+M4</f>
        <v>604833.72</v>
      </c>
      <c r="D4" s="14">
        <f t="shared" ref="D4:D67" si="2">I4+N4</f>
        <v>336992.88</v>
      </c>
      <c r="E4" s="14">
        <f t="shared" ref="E4:E67" si="3">J4+O4</f>
        <v>26177.000000000007</v>
      </c>
      <c r="F4" s="14">
        <f t="shared" si="0"/>
        <v>35595.999999999993</v>
      </c>
      <c r="H4" s="14" cm="1">
        <f t="array" ref="H4:K4">MMULT($C3:$F3,P_Matrix)</f>
        <v>590694</v>
      </c>
      <c r="I4" s="14">
        <v>330933</v>
      </c>
      <c r="J4" s="14">
        <v>26177.000000000007</v>
      </c>
      <c r="K4" s="14">
        <v>72196</v>
      </c>
      <c r="M4" s="12">
        <f>MAX((Inputs!F$25*POWER(1+(Inputs!$C$3-(Inputs!$C$3*(('Steady State'!$A4-1)/Inputs!$C$4))),'Steady State'!$A4-1)),M3)</f>
        <v>14139.720000000001</v>
      </c>
      <c r="N4" s="12">
        <f>MAX((Inputs!G$25*POWER(1+(Inputs!$C$3-(Inputs!$C$3*(('Steady State'!$A4-1)/Inputs!$C$4))),'Steady State'!$A4-1)),N3)</f>
        <v>6059.880000000001</v>
      </c>
      <c r="O4" s="12">
        <f>MAX((Inputs!H$25*POWER(1+(Inputs!$C$3-(Inputs!$C$3*(('Steady State'!$A4-1)/Inputs!$C$4))),'Steady State'!$A4-1)),O3)</f>
        <v>0</v>
      </c>
      <c r="P4" s="12">
        <f>MAX((Inputs!I$25*POWER(1+(Inputs!$C$3-(Inputs!$C$3*(('Steady State'!$A4-1)/Inputs!$C$4))),'Steady State'!$A4-1)),P3)</f>
        <v>0</v>
      </c>
    </row>
    <row r="5" spans="1:16" x14ac:dyDescent="0.35">
      <c r="A5">
        <v>3</v>
      </c>
      <c r="C5" s="14">
        <f t="shared" si="1"/>
        <v>588811.59442239988</v>
      </c>
      <c r="D5" s="14">
        <f t="shared" si="2"/>
        <v>339668.87560959999</v>
      </c>
      <c r="E5" s="14">
        <f t="shared" si="3"/>
        <v>25124.466000000004</v>
      </c>
      <c r="F5" s="14">
        <f t="shared" si="0"/>
        <v>34799.047999999988</v>
      </c>
      <c r="H5" s="14" cm="1">
        <f t="array" ref="H5:K5">MMULT($C4:$F4,P_Matrix)</f>
        <v>574531.32559999987</v>
      </c>
      <c r="I5" s="14">
        <v>333548.76039999997</v>
      </c>
      <c r="J5" s="14">
        <v>25124.466000000004</v>
      </c>
      <c r="K5" s="14">
        <v>70395.047999999981</v>
      </c>
      <c r="M5" s="12">
        <f>MAX((Inputs!F$25*POWER(1+(Inputs!$C$3-(Inputs!$C$3*(('Steady State'!$A5-1)/Inputs!$C$4))),'Steady State'!$A5-1)),M4)</f>
        <v>14280.268822400001</v>
      </c>
      <c r="N5" s="12">
        <f>MAX((Inputs!G$25*POWER(1+(Inputs!$C$3-(Inputs!$C$3*(('Steady State'!$A5-1)/Inputs!$C$4))),'Steady State'!$A5-1)),N4)</f>
        <v>6120.1152096000005</v>
      </c>
      <c r="O5" s="12">
        <v>0</v>
      </c>
      <c r="P5" s="12">
        <v>0</v>
      </c>
    </row>
    <row r="6" spans="1:16" x14ac:dyDescent="0.35">
      <c r="A6">
        <v>4</v>
      </c>
      <c r="C6" s="14">
        <f t="shared" si="1"/>
        <v>573813.67761386081</v>
      </c>
      <c r="D6" s="14">
        <f t="shared" si="2"/>
        <v>341898.59137501469</v>
      </c>
      <c r="E6" s="14">
        <f t="shared" si="3"/>
        <v>24359.48430032</v>
      </c>
      <c r="F6" s="14">
        <f t="shared" si="0"/>
        <v>34135.530600959995</v>
      </c>
      <c r="H6" s="14" cm="1">
        <f t="array" ref="H6:K6">MMULT($C5:$F5,P_Matrix)</f>
        <v>559392.03411315184</v>
      </c>
      <c r="I6" s="14">
        <v>335717.88701756799</v>
      </c>
      <c r="J6" s="14">
        <v>24359.48430032</v>
      </c>
      <c r="K6" s="14">
        <v>68934.578600959983</v>
      </c>
      <c r="M6" s="12">
        <f>MAX((Inputs!F$25*POWER(1+(Inputs!$C$3-(Inputs!$C$3*(('Steady State'!$A6-1)/Inputs!$C$4))),'Steady State'!$A6-1)),M5)</f>
        <v>14421.64350070898</v>
      </c>
      <c r="N6" s="12">
        <f>MAX((Inputs!G$25*POWER(1+(Inputs!$C$3-(Inputs!$C$3*(('Steady State'!$A6-1)/Inputs!$C$4))),'Steady State'!$A6-1)),N5)</f>
        <v>6180.7043574467052</v>
      </c>
      <c r="O6" s="12">
        <v>0</v>
      </c>
      <c r="P6" s="12">
        <v>0</v>
      </c>
    </row>
    <row r="7" spans="1:16" x14ac:dyDescent="0.35">
      <c r="A7">
        <v>5</v>
      </c>
      <c r="C7" s="14">
        <f t="shared" si="1"/>
        <v>559803.63224070799</v>
      </c>
      <c r="D7" s="14">
        <f t="shared" si="2"/>
        <v>343739.55569065583</v>
      </c>
      <c r="E7" s="14">
        <f t="shared" si="3"/>
        <v>23772.813270080755</v>
      </c>
      <c r="F7" s="14">
        <f t="shared" si="0"/>
        <v>33561.239144746265</v>
      </c>
      <c r="H7" s="14" cm="1">
        <f t="array" ref="H7:K7">MMULT($C6:$F6,P_Matrix)</f>
        <v>545239.79130081122</v>
      </c>
      <c r="I7" s="14">
        <v>337497.9095735572</v>
      </c>
      <c r="J7" s="14">
        <v>23772.813270080755</v>
      </c>
      <c r="K7" s="14">
        <v>67696.76974570626</v>
      </c>
      <c r="M7" s="12">
        <f>MAX((Inputs!F$25*POWER(1+(Inputs!$C$3-(Inputs!$C$3*(('Steady State'!$A7-1)/Inputs!$C$4))),'Steady State'!$A7-1)),M6)</f>
        <v>14563.840939896798</v>
      </c>
      <c r="N7" s="12">
        <f>MAX((Inputs!G$25*POWER(1+(Inputs!$C$3-(Inputs!$C$3*(('Steady State'!$A7-1)/Inputs!$C$4))),'Steady State'!$A7-1)),N6)</f>
        <v>6241.6461170986277</v>
      </c>
      <c r="O7" s="12">
        <v>0</v>
      </c>
      <c r="P7" s="12">
        <v>0</v>
      </c>
    </row>
    <row r="8" spans="1:16" x14ac:dyDescent="0.35">
      <c r="A8">
        <v>6</v>
      </c>
      <c r="C8" s="14">
        <f t="shared" si="1"/>
        <v>546736.94910578872</v>
      </c>
      <c r="D8" s="14">
        <f t="shared" si="2"/>
        <v>345240.2303211306</v>
      </c>
      <c r="E8" s="14">
        <f t="shared" si="3"/>
        <v>23299.119841362088</v>
      </c>
      <c r="F8" s="14">
        <f t="shared" si="0"/>
        <v>33049.498955461102</v>
      </c>
      <c r="H8" s="14" cm="1">
        <f t="array" ref="H8:K8">MMULT($C7:$F7,P_Matrix)</f>
        <v>532030.09119018016</v>
      </c>
      <c r="I8" s="14">
        <v>338937.29121444118</v>
      </c>
      <c r="J8" s="14">
        <v>23299.119841362088</v>
      </c>
      <c r="K8" s="14">
        <v>66610.738100207367</v>
      </c>
      <c r="M8" s="12">
        <f>MAX((Inputs!F$25*POWER(1+(Inputs!$C$3-(Inputs!$C$3*(('Steady State'!$A8-1)/Inputs!$C$4))),'Steady State'!$A8-1)),M7)</f>
        <v>14706.857915608598</v>
      </c>
      <c r="N8" s="12">
        <f>MAX((Inputs!G$25*POWER(1+(Inputs!$C$3-(Inputs!$C$3*(('Steady State'!$A8-1)/Inputs!$C$4))),'Steady State'!$A8-1)),N7)</f>
        <v>6302.9391066893995</v>
      </c>
      <c r="O8" s="12">
        <v>0</v>
      </c>
      <c r="P8" s="12">
        <v>0</v>
      </c>
    </row>
    <row r="9" spans="1:16" x14ac:dyDescent="0.35">
      <c r="A9">
        <v>7</v>
      </c>
      <c r="C9" s="14">
        <f t="shared" si="1"/>
        <v>534565.737520186</v>
      </c>
      <c r="D9" s="14">
        <f t="shared" si="2"/>
        <v>346442.49566785665</v>
      </c>
      <c r="E9" s="14">
        <f t="shared" si="3"/>
        <v>22899.243699086444</v>
      </c>
      <c r="F9" s="14">
        <f t="shared" si="0"/>
        <v>32584.09534314811</v>
      </c>
      <c r="H9" s="14" cm="1">
        <f t="array" ref="H9:K9">MMULT($C8:$F8,P_Matrix)</f>
        <v>519715.04644678894</v>
      </c>
      <c r="I9" s="14">
        <v>340077.91377925791</v>
      </c>
      <c r="J9" s="14">
        <v>22899.243699086444</v>
      </c>
      <c r="K9" s="14">
        <v>65633.594298609212</v>
      </c>
      <c r="M9" s="12">
        <f>MAX((Inputs!F$25*POWER(1+(Inputs!$C$3-(Inputs!$C$3*(('Steady State'!$A9-1)/Inputs!$C$4))),'Steady State'!$A9-1)),M8)</f>
        <v>14850.691073397053</v>
      </c>
      <c r="N9" s="12">
        <f>MAX((Inputs!G$25*POWER(1+(Inputs!$C$3-(Inputs!$C$3*(('Steady State'!$A9-1)/Inputs!$C$4))),'Steady State'!$A9-1)),N8)</f>
        <v>6364.5818885987374</v>
      </c>
      <c r="O9" s="12">
        <v>0</v>
      </c>
      <c r="P9" s="12">
        <v>0</v>
      </c>
    </row>
    <row r="10" spans="1:16" x14ac:dyDescent="0.35">
      <c r="A10">
        <v>8</v>
      </c>
      <c r="C10" s="14">
        <f t="shared" si="1"/>
        <v>523241.47952353529</v>
      </c>
      <c r="D10" s="14">
        <f t="shared" si="2"/>
        <v>347383.2207889533</v>
      </c>
      <c r="E10" s="14">
        <f t="shared" si="3"/>
        <v>22549.628551332295</v>
      </c>
      <c r="F10" s="14">
        <f t="shared" si="0"/>
        <v>32155.057920412888</v>
      </c>
      <c r="H10" s="14" cm="1">
        <f t="array" ref="H10:K10">MMULT($C9:$F9,P_Matrix)</f>
        <v>508246.14259556204</v>
      </c>
      <c r="I10" s="14">
        <v>340956.6478198219</v>
      </c>
      <c r="J10" s="14">
        <v>22549.628551332295</v>
      </c>
      <c r="K10" s="14">
        <v>64739.153263560998</v>
      </c>
      <c r="M10" s="12">
        <f>MAX((Inputs!F$25*POWER(1+(Inputs!$C$3-(Inputs!$C$3*(('Steady State'!$A10-1)/Inputs!$C$4))),'Steady State'!$A10-1)),M9)</f>
        <v>14995.336927973245</v>
      </c>
      <c r="N10" s="12">
        <f>MAX((Inputs!G$25*POWER(1+(Inputs!$C$3-(Inputs!$C$3*(('Steady State'!$A10-1)/Inputs!$C$4))),'Steady State'!$A10-1)),N9)</f>
        <v>6426.5729691313909</v>
      </c>
      <c r="O10" s="12">
        <v>0</v>
      </c>
      <c r="P10" s="12">
        <v>0</v>
      </c>
    </row>
    <row r="11" spans="1:16" x14ac:dyDescent="0.35">
      <c r="A11">
        <v>9</v>
      </c>
      <c r="C11" s="14">
        <f t="shared" si="1"/>
        <v>512716.57767762186</v>
      </c>
      <c r="D11" s="14">
        <f t="shared" si="2"/>
        <v>348095.28156574693</v>
      </c>
      <c r="E11" s="14">
        <f t="shared" si="3"/>
        <v>22236.024133924264</v>
      </c>
      <c r="F11" s="14">
        <f t="shared" si="0"/>
        <v>31756.148147207728</v>
      </c>
      <c r="H11" s="14" cm="1">
        <f t="array" ref="H11:K11">MMULT($C10:$F10,P_Matrix)</f>
        <v>497575.78581514588</v>
      </c>
      <c r="I11" s="14">
        <v>341606.37076754292</v>
      </c>
      <c r="J11" s="14">
        <v>22236.024133924264</v>
      </c>
      <c r="K11" s="14">
        <v>63911.206067620617</v>
      </c>
      <c r="M11" s="12">
        <f>MAX((Inputs!F$25*POWER(1+(Inputs!$C$3-(Inputs!$C$3*(('Steady State'!$A11-1)/Inputs!$C$4))),'Steady State'!$A11-1)),M10)</f>
        <v>15140.791862475988</v>
      </c>
      <c r="N11" s="12">
        <f>MAX((Inputs!G$25*POWER(1+(Inputs!$C$3-(Inputs!$C$3*(('Steady State'!$A11-1)/Inputs!$C$4))),'Steady State'!$A11-1)),N10)</f>
        <v>6488.910798203995</v>
      </c>
      <c r="O11" s="12">
        <v>0</v>
      </c>
      <c r="P11" s="12">
        <v>0</v>
      </c>
    </row>
    <row r="12" spans="1:16" x14ac:dyDescent="0.35">
      <c r="A12">
        <v>10</v>
      </c>
      <c r="C12" s="14">
        <f t="shared" si="1"/>
        <v>502945.19037377485</v>
      </c>
      <c r="D12" s="14">
        <f t="shared" si="2"/>
        <v>348608.24401674839</v>
      </c>
      <c r="E12" s="14">
        <f t="shared" si="3"/>
        <v>21949.733072788244</v>
      </c>
      <c r="F12" s="14">
        <f t="shared" si="0"/>
        <v>31383.361810782124</v>
      </c>
      <c r="H12" s="14" cm="1">
        <f t="array" ref="H12:K12">MMULT($C11:$F11,P_Matrix)</f>
        <v>487658.13824601442</v>
      </c>
      <c r="I12" s="14">
        <v>342056.6502477082</v>
      </c>
      <c r="J12" s="14">
        <v>21949.733072788244</v>
      </c>
      <c r="K12" s="14">
        <v>63139.509957989852</v>
      </c>
      <c r="M12" s="12">
        <f>MAX((Inputs!F$25*POWER(1+(Inputs!$C$3-(Inputs!$C$3*(('Steady State'!$A12-1)/Inputs!$C$4))),'Steady State'!$A12-1)),M11)</f>
        <v>15287.05212776042</v>
      </c>
      <c r="N12" s="12">
        <f>MAX((Inputs!G$25*POWER(1+(Inputs!$C$3-(Inputs!$C$3*(('Steady State'!$A12-1)/Inputs!$C$4))),'Steady State'!$A12-1)),N11)</f>
        <v>6551.5937690401806</v>
      </c>
      <c r="O12" s="12">
        <v>0</v>
      </c>
      <c r="P12" s="12">
        <v>0</v>
      </c>
    </row>
    <row r="13" spans="1:16" x14ac:dyDescent="0.35">
      <c r="A13">
        <v>11</v>
      </c>
      <c r="C13" s="14">
        <f t="shared" si="1"/>
        <v>493883.64854050084</v>
      </c>
      <c r="D13" s="14">
        <f t="shared" si="2"/>
        <v>348948.84249489993</v>
      </c>
      <c r="E13" s="14">
        <f t="shared" si="3"/>
        <v>21685.374187578178</v>
      </c>
      <c r="F13" s="14">
        <f t="shared" si="0"/>
        <v>31034.036299912761</v>
      </c>
      <c r="H13" s="14" cm="1">
        <f t="array" ref="H13:K13">MMULT($C12:$F12,P_Matrix)</f>
        <v>478449.53469879465</v>
      </c>
      <c r="I13" s="14">
        <v>342334.22227702587</v>
      </c>
      <c r="J13" s="14">
        <v>21685.374187578178</v>
      </c>
      <c r="K13" s="14">
        <v>62417.398110694885</v>
      </c>
      <c r="M13" s="12">
        <f>MAX((Inputs!F$25*POWER(1+(Inputs!$C$3-(Inputs!$C$3*(('Steady State'!$A13-1)/Inputs!$C$4))),'Steady State'!$A13-1)),M12)</f>
        <v>15434.113841706188</v>
      </c>
      <c r="N13" s="12">
        <f>MAX((Inputs!G$25*POWER(1+(Inputs!$C$3-(Inputs!$C$3*(('Steady State'!$A13-1)/Inputs!$C$4))),'Steady State'!$A13-1)),N12)</f>
        <v>6614.6202178740805</v>
      </c>
      <c r="O13" s="12">
        <v>0</v>
      </c>
      <c r="P13" s="12">
        <v>0</v>
      </c>
    </row>
    <row r="14" spans="1:16" x14ac:dyDescent="0.35">
      <c r="A14">
        <v>12</v>
      </c>
      <c r="C14" s="14">
        <f t="shared" si="1"/>
        <v>485490.62846032251</v>
      </c>
      <c r="D14" s="14">
        <f t="shared" si="2"/>
        <v>349141.33047400601</v>
      </c>
      <c r="E14" s="14">
        <f t="shared" si="3"/>
        <v>21439.549422900913</v>
      </c>
      <c r="F14" s="14">
        <f t="shared" si="0"/>
        <v>30706.318277956569</v>
      </c>
      <c r="H14" s="14" cm="1">
        <f t="array" ref="H14:K14">MMULT($C13:$F13,P_Matrix)</f>
        <v>469908.65547177754</v>
      </c>
      <c r="I14" s="14">
        <v>342463.34205034387</v>
      </c>
      <c r="J14" s="14">
        <v>21439.549422900913</v>
      </c>
      <c r="K14" s="14">
        <v>61740.35457786933</v>
      </c>
      <c r="M14" s="12">
        <f>MAX((Inputs!F$25*POWER(1+(Inputs!$C$3-(Inputs!$C$3*(('Steady State'!$A14-1)/Inputs!$C$4))),'Steady State'!$A14-1)),M13)</f>
        <v>15581.972988544936</v>
      </c>
      <c r="N14" s="12">
        <f>MAX((Inputs!G$25*POWER(1+(Inputs!$C$3-(Inputs!$C$3*(('Steady State'!$A14-1)/Inputs!$C$4))),'Steady State'!$A14-1)),N13)</f>
        <v>6677.9884236621156</v>
      </c>
      <c r="O14" s="12">
        <v>0</v>
      </c>
      <c r="P14" s="12">
        <v>0</v>
      </c>
    </row>
    <row r="15" spans="1:16" x14ac:dyDescent="0.35">
      <c r="A15">
        <v>13</v>
      </c>
      <c r="C15" s="14">
        <f t="shared" si="1"/>
        <v>477727.1844179419</v>
      </c>
      <c r="D15" s="14">
        <f t="shared" si="2"/>
        <v>349207.7505984609</v>
      </c>
      <c r="E15" s="14">
        <f t="shared" si="3"/>
        <v>21210.049243083835</v>
      </c>
      <c r="F15" s="14">
        <f t="shared" si="0"/>
        <v>30398.84612375508</v>
      </c>
      <c r="H15" s="14" cm="1">
        <f t="array" ref="H15:K15">MMULT($C14:$F14,P_Matrix)</f>
        <v>461996.55899973324</v>
      </c>
      <c r="I15" s="14">
        <v>342466.05399065721</v>
      </c>
      <c r="J15" s="14">
        <v>21210.049243083835</v>
      </c>
      <c r="K15" s="14">
        <v>61105.164401711649</v>
      </c>
      <c r="M15" s="12">
        <f>MAX((Inputs!F$25*POWER(1+(Inputs!$C$3-(Inputs!$C$3*(('Steady State'!$A15-1)/Inputs!$C$4))),'Steady State'!$A15-1)),M14)</f>
        <v>15730.625418208678</v>
      </c>
      <c r="N15" s="12">
        <f>MAX((Inputs!G$25*POWER(1+(Inputs!$C$3-(Inputs!$C$3*(('Steady State'!$A15-1)/Inputs!$C$4))),'Steady State'!$A15-1)),N14)</f>
        <v>6741.6966078037194</v>
      </c>
      <c r="O15" s="12">
        <v>0</v>
      </c>
      <c r="P15" s="12">
        <v>0</v>
      </c>
    </row>
    <row r="16" spans="1:16" x14ac:dyDescent="0.35">
      <c r="A16">
        <v>14</v>
      </c>
      <c r="C16" s="14">
        <f t="shared" si="1"/>
        <v>470556.70262885641</v>
      </c>
      <c r="D16" s="14">
        <f t="shared" si="2"/>
        <v>349168.15215292148</v>
      </c>
      <c r="E16" s="14">
        <f t="shared" si="3"/>
        <v>20995.378896014328</v>
      </c>
      <c r="F16" s="14">
        <f t="shared" si="0"/>
        <v>30110.560361263044</v>
      </c>
      <c r="H16" s="14" cm="1">
        <f t="array" ref="H16:K16">MMULT($C15:$F15,P_Matrix)</f>
        <v>454676.63578315836</v>
      </c>
      <c r="I16" s="14">
        <v>342362.4092190509</v>
      </c>
      <c r="J16" s="14">
        <v>20995.378896014328</v>
      </c>
      <c r="K16" s="14">
        <v>60509.406485018124</v>
      </c>
      <c r="M16" s="12">
        <f>MAX((Inputs!F$25*POWER(1+(Inputs!$C$3-(Inputs!$C$3*(('Steady State'!$A16-1)/Inputs!$C$4))),'Steady State'!$A16-1)),M15)</f>
        <v>15880.066845698042</v>
      </c>
      <c r="N16" s="12">
        <f>MAX((Inputs!G$25*POWER(1+(Inputs!$C$3-(Inputs!$C$3*(('Steady State'!$A16-1)/Inputs!$C$4))),'Steady State'!$A16-1)),N15)</f>
        <v>6805.7429338705897</v>
      </c>
      <c r="O16" s="12">
        <v>0</v>
      </c>
      <c r="P16" s="12">
        <v>0</v>
      </c>
    </row>
    <row r="17" spans="1:16" x14ac:dyDescent="0.35">
      <c r="A17">
        <v>15</v>
      </c>
      <c r="C17" s="14">
        <f t="shared" si="1"/>
        <v>463944.81273272727</v>
      </c>
      <c r="D17" s="14">
        <f t="shared" si="2"/>
        <v>349040.77304999827</v>
      </c>
      <c r="E17" s="14">
        <f t="shared" si="3"/>
        <v>20794.475885426375</v>
      </c>
      <c r="F17" s="14">
        <f t="shared" si="0"/>
        <v>29840.59036745692</v>
      </c>
      <c r="H17" s="14" cm="1">
        <f t="array" ref="H17:K17">MMULT($C16:$F16,P_Matrix)</f>
        <v>447914.51988225564</v>
      </c>
      <c r="I17" s="14">
        <v>342170.64754265326</v>
      </c>
      <c r="J17" s="14">
        <v>20794.475885426375</v>
      </c>
      <c r="K17" s="14">
        <v>59951.150728719964</v>
      </c>
      <c r="M17" s="12">
        <f>MAX((Inputs!F$25*POWER(1+(Inputs!$C$3-(Inputs!$C$3*(('Steady State'!$A17-1)/Inputs!$C$4))),'Steady State'!$A17-1)),M16)</f>
        <v>16030.292850471651</v>
      </c>
      <c r="N17" s="12">
        <f>MAX((Inputs!G$25*POWER(1+(Inputs!$C$3-(Inputs!$C$3*(('Steady State'!$A17-1)/Inputs!$C$4))),'Steady State'!$A17-1)),N16)</f>
        <v>6870.1255073449929</v>
      </c>
      <c r="O17" s="12">
        <v>0</v>
      </c>
      <c r="P17" s="12">
        <v>0</v>
      </c>
    </row>
    <row r="18" spans="1:16" x14ac:dyDescent="0.35">
      <c r="A18">
        <v>16</v>
      </c>
      <c r="C18" s="14">
        <f t="shared" si="1"/>
        <v>457859.27816366323</v>
      </c>
      <c r="D18" s="14">
        <f t="shared" si="2"/>
        <v>348842.19682179153</v>
      </c>
      <c r="E18" s="14">
        <f t="shared" si="3"/>
        <v>20606.541389083079</v>
      </c>
      <c r="F18" s="14">
        <f t="shared" si="0"/>
        <v>29588.186544838354</v>
      </c>
      <c r="H18" s="14" cm="1">
        <f t="array" ref="H18:K18">MMULT($C17:$F17,P_Matrix)</f>
        <v>441677.97928780626</v>
      </c>
      <c r="I18" s="14">
        <v>341907.35444642423</v>
      </c>
      <c r="J18" s="14">
        <v>20606.541389083079</v>
      </c>
      <c r="K18" s="14">
        <v>59428.776912295274</v>
      </c>
      <c r="M18" s="12">
        <f>MAX((Inputs!F$25*POWER(1+(Inputs!$C$3-(Inputs!$C$3*(('Steady State'!$A18-1)/Inputs!$C$4))),'Steady State'!$A18-1)),M17)</f>
        <v>16181.298875856963</v>
      </c>
      <c r="N18" s="12">
        <f>MAX((Inputs!G$25*POWER(1+(Inputs!$C$3-(Inputs!$C$3*(('Steady State'!$A18-1)/Inputs!$C$4))),'Steady State'!$A18-1)),N17)</f>
        <v>6934.8423753672696</v>
      </c>
      <c r="O18" s="12">
        <v>0</v>
      </c>
      <c r="P18" s="12">
        <v>0</v>
      </c>
    </row>
    <row r="19" spans="1:16" x14ac:dyDescent="0.35">
      <c r="A19">
        <v>17</v>
      </c>
      <c r="C19" s="14">
        <f t="shared" si="1"/>
        <v>452269.87780945172</v>
      </c>
      <c r="D19" s="14">
        <f t="shared" si="2"/>
        <v>348587.49113992165</v>
      </c>
      <c r="E19" s="14">
        <f t="shared" si="3"/>
        <v>20430.939583304393</v>
      </c>
      <c r="F19" s="14">
        <f t="shared" si="0"/>
        <v>29352.679596834416</v>
      </c>
      <c r="H19" s="14" cm="1">
        <f t="array" ref="H19:K19">MMULT($C18:$F18,P_Matrix)</f>
        <v>435936.79758096964</v>
      </c>
      <c r="I19" s="14">
        <v>341587.59961342934</v>
      </c>
      <c r="J19" s="14">
        <v>20430.939583304393</v>
      </c>
      <c r="K19" s="14">
        <v>58940.86614167277</v>
      </c>
      <c r="M19" s="12">
        <f>MAX((Inputs!F$25*POWER(1+(Inputs!$C$3-(Inputs!$C$3*(('Steady State'!$A19-1)/Inputs!$C$4))),'Steady State'!$A19-1)),M18)</f>
        <v>16333.080228482093</v>
      </c>
      <c r="N19" s="12">
        <f>MAX((Inputs!G$25*POWER(1+(Inputs!$C$3-(Inputs!$C$3*(('Steady State'!$A19-1)/Inputs!$C$4))),'Steady State'!$A19-1)),N18)</f>
        <v>6999.8915264923253</v>
      </c>
      <c r="O19" s="12">
        <v>0</v>
      </c>
      <c r="P19" s="12">
        <v>0</v>
      </c>
    </row>
    <row r="20" spans="1:16" x14ac:dyDescent="0.35">
      <c r="A20">
        <v>18</v>
      </c>
      <c r="C20" s="14">
        <f t="shared" si="1"/>
        <v>447148.28608834441</v>
      </c>
      <c r="D20" s="14">
        <f t="shared" si="2"/>
        <v>348290.33200873557</v>
      </c>
      <c r="E20" s="14">
        <f t="shared" si="3"/>
        <v>20267.13743947637</v>
      </c>
      <c r="F20" s="14">
        <f t="shared" si="0"/>
        <v>29133.455964307301</v>
      </c>
      <c r="H20" s="14" cm="1">
        <f t="array" ref="H20:K20">MMULT($C19:$F19,P_Matrix)</f>
        <v>430662.65401061426</v>
      </c>
      <c r="I20" s="14">
        <v>341225.06111827982</v>
      </c>
      <c r="J20" s="14">
        <v>20267.13743947637</v>
      </c>
      <c r="K20" s="14">
        <v>58486.135561141717</v>
      </c>
      <c r="M20" s="12">
        <f>MAX((Inputs!F$25*POWER(1+(Inputs!$C$3-(Inputs!$C$3*(('Steady State'!$A20-1)/Inputs!$C$4))),'Steady State'!$A20-1)),M19)</f>
        <v>16485.632077730133</v>
      </c>
      <c r="N20" s="12">
        <f>MAX((Inputs!G$25*POWER(1+(Inputs!$C$3-(Inputs!$C$3*(('Steady State'!$A20-1)/Inputs!$C$4))),'Steady State'!$A20-1)),N19)</f>
        <v>7065.2708904557712</v>
      </c>
      <c r="O20" s="12">
        <v>0</v>
      </c>
      <c r="P20" s="12">
        <v>0</v>
      </c>
    </row>
    <row r="21" spans="1:16" x14ac:dyDescent="0.35">
      <c r="A21">
        <v>19</v>
      </c>
      <c r="C21" s="14">
        <f t="shared" si="1"/>
        <v>442467.95544229395</v>
      </c>
      <c r="D21" s="14">
        <f t="shared" si="2"/>
        <v>347963.11633998883</v>
      </c>
      <c r="E21" s="14">
        <f t="shared" si="3"/>
        <v>20114.668644656624</v>
      </c>
      <c r="F21" s="14">
        <f t="shared" si="0"/>
        <v>28929.942902781491</v>
      </c>
      <c r="H21" s="14" cm="1">
        <f t="array" ref="H21:K21">MMULT($C20:$F20,P_Matrix)</f>
        <v>425829.00598707871</v>
      </c>
      <c r="I21" s="14">
        <v>340832.13800203946</v>
      </c>
      <c r="J21" s="14">
        <v>20114.668644656624</v>
      </c>
      <c r="K21" s="14">
        <v>58063.398867088792</v>
      </c>
      <c r="M21" s="12">
        <f>MAX((Inputs!F$25*POWER(1+(Inputs!$C$3-(Inputs!$C$3*(('Steady State'!$A21-1)/Inputs!$C$4))),'Steady State'!$A21-1)),M20)</f>
        <v>16638.949455215246</v>
      </c>
      <c r="N21" s="12">
        <f>MAX((Inputs!G$25*POWER(1+(Inputs!$C$3-(Inputs!$C$3*(('Steady State'!$A21-1)/Inputs!$C$4))),'Steady State'!$A21-1)),N20)</f>
        <v>7130.9783379493911</v>
      </c>
      <c r="O21" s="12">
        <v>0</v>
      </c>
      <c r="P21" s="12">
        <v>0</v>
      </c>
    </row>
    <row r="22" spans="1:16" x14ac:dyDescent="0.35">
      <c r="A22">
        <v>20</v>
      </c>
      <c r="C22" s="14">
        <f t="shared" si="1"/>
        <v>438204.00339790341</v>
      </c>
      <c r="D22" s="14">
        <f t="shared" si="2"/>
        <v>347617.06474447442</v>
      </c>
      <c r="E22" s="14">
        <f t="shared" si="3"/>
        <v>19973.111904616802</v>
      </c>
      <c r="F22" s="14">
        <f t="shared" si="0"/>
        <v>28741.599314632644</v>
      </c>
      <c r="H22" s="14" cm="1">
        <f t="array" ref="H22:K22">MMULT($C21:$F21,P_Matrix)</f>
        <v>421410.9761436219</v>
      </c>
      <c r="I22" s="14">
        <v>340420.05306406808</v>
      </c>
      <c r="J22" s="14">
        <v>19973.111904616802</v>
      </c>
      <c r="K22" s="14">
        <v>57671.542217414135</v>
      </c>
      <c r="M22" s="12">
        <f>MAX((Inputs!F$25*POWER(1+(Inputs!$C$3-(Inputs!$C$3*(('Steady State'!$A22-1)/Inputs!$C$4))),'Steady State'!$A22-1)),M21)</f>
        <v>16793.027254281533</v>
      </c>
      <c r="N22" s="12">
        <f>MAX((Inputs!G$25*POWER(1+(Inputs!$C$3-(Inputs!$C$3*(('Steady State'!$A22-1)/Inputs!$C$4))),'Steady State'!$A22-1)),N21)</f>
        <v>7197.0116804063719</v>
      </c>
      <c r="O22" s="12">
        <v>0</v>
      </c>
      <c r="P22" s="12">
        <v>0</v>
      </c>
    </row>
    <row r="23" spans="1:16" x14ac:dyDescent="0.35">
      <c r="A23">
        <v>21</v>
      </c>
      <c r="C23" s="14">
        <f t="shared" si="1"/>
        <v>434333.1052614607</v>
      </c>
      <c r="D23" s="14">
        <f t="shared" si="2"/>
        <v>347262.31584023603</v>
      </c>
      <c r="E23" s="14">
        <f t="shared" si="3"/>
        <v>19842.077824193861</v>
      </c>
      <c r="F23" s="14">
        <f t="shared" si="0"/>
        <v>28567.91002042553</v>
      </c>
      <c r="H23" s="14" cm="1">
        <f t="array" ref="H23:K23">MMULT($C22:$F22,P_Matrix)</f>
        <v>417385.24503193557</v>
      </c>
      <c r="I23" s="14">
        <v>339998.94717043953</v>
      </c>
      <c r="J23" s="14">
        <v>19842.077824193861</v>
      </c>
      <c r="K23" s="14">
        <v>57309.509335058174</v>
      </c>
      <c r="M23" s="12">
        <f>MAX((Inputs!F$25*POWER(1+(Inputs!$C$3-(Inputs!$C$3*(('Steady State'!$A23-1)/Inputs!$C$4))),'Steady State'!$A23-1)),M22)</f>
        <v>16947.860229525137</v>
      </c>
      <c r="N23" s="12">
        <f>MAX((Inputs!G$25*POWER(1+(Inputs!$C$3-(Inputs!$C$3*(('Steady State'!$A23-1)/Inputs!$C$4))),'Steady State'!$A23-1)),N22)</f>
        <v>7263.3686697964868</v>
      </c>
      <c r="O23" s="12">
        <v>0</v>
      </c>
      <c r="P23" s="12">
        <v>0</v>
      </c>
    </row>
    <row r="24" spans="1:16" x14ac:dyDescent="0.35">
      <c r="A24">
        <v>22</v>
      </c>
      <c r="C24" s="14">
        <f t="shared" si="1"/>
        <v>430833.39288293349</v>
      </c>
      <c r="D24" s="14">
        <f t="shared" si="2"/>
        <v>346908.01304309396</v>
      </c>
      <c r="E24" s="14">
        <f t="shared" si="3"/>
        <v>19721.200905533282</v>
      </c>
      <c r="F24" s="14">
        <f t="shared" si="0"/>
        <v>28408.382089099367</v>
      </c>
      <c r="H24" s="14" cm="1">
        <f t="array" ref="H24:K24">MMULT($C23:$F23,P_Matrix)</f>
        <v>413729.94988659478</v>
      </c>
      <c r="I24" s="14">
        <v>339577.9660446631</v>
      </c>
      <c r="J24" s="14">
        <v>19721.200905533282</v>
      </c>
      <c r="K24" s="14">
        <v>56976.292109524897</v>
      </c>
      <c r="M24" s="12">
        <f>MAX((Inputs!F$25*POWER(1+(Inputs!$C$3-(Inputs!$C$3*(('Steady State'!$A24-1)/Inputs!$C$4))),'Steady State'!$A24-1)),M23)</f>
        <v>17103.442996338705</v>
      </c>
      <c r="N24" s="12">
        <f>MAX((Inputs!G$25*POWER(1+(Inputs!$C$3-(Inputs!$C$3*(('Steady State'!$A24-1)/Inputs!$C$4))),'Steady State'!$A24-1)),N23)</f>
        <v>7330.0469984308738</v>
      </c>
      <c r="O24" s="12">
        <v>0</v>
      </c>
      <c r="P24" s="12">
        <v>0</v>
      </c>
    </row>
    <row r="25" spans="1:16" x14ac:dyDescent="0.35">
      <c r="A25">
        <v>23</v>
      </c>
      <c r="C25" s="14">
        <f t="shared" si="1"/>
        <v>427684.3595614222</v>
      </c>
      <c r="D25" s="14">
        <f t="shared" si="2"/>
        <v>346562.38459265191</v>
      </c>
      <c r="E25" s="14">
        <f t="shared" si="3"/>
        <v>19610.134602580241</v>
      </c>
      <c r="F25" s="14">
        <f t="shared" si="0"/>
        <v>28262.542404164145</v>
      </c>
      <c r="H25" s="14" cm="1">
        <f t="array" ref="H25:K25">MMULT($C24:$F24,P_Matrix)</f>
        <v>410424.58953094168</v>
      </c>
      <c r="I25" s="14">
        <v>339165.34029387456</v>
      </c>
      <c r="J25" s="14">
        <v>19610.134602580241</v>
      </c>
      <c r="K25" s="14">
        <v>56670.924493263512</v>
      </c>
      <c r="M25" s="12">
        <f>MAX((Inputs!F$25*POWER(1+(Inputs!$C$3-(Inputs!$C$3*(('Steady State'!$A25-1)/Inputs!$C$4))),'Steady State'!$A25-1)),M24)</f>
        <v>17259.770030480529</v>
      </c>
      <c r="N25" s="12">
        <f>MAX((Inputs!G$25*POWER(1+(Inputs!$C$3-(Inputs!$C$3*(('Steady State'!$A25-1)/Inputs!$C$4))),'Steady State'!$A25-1)),N24)</f>
        <v>7397.0442987773695</v>
      </c>
      <c r="O25" s="12">
        <v>0</v>
      </c>
      <c r="P25" s="12">
        <v>0</v>
      </c>
    </row>
    <row r="26" spans="1:16" x14ac:dyDescent="0.35">
      <c r="A26">
        <v>24</v>
      </c>
      <c r="C26" s="14">
        <f t="shared" si="1"/>
        <v>424866.7709615879</v>
      </c>
      <c r="D26" s="14">
        <f t="shared" si="2"/>
        <v>346232.81742766243</v>
      </c>
      <c r="E26" s="14">
        <f t="shared" si="3"/>
        <v>19508.548203088885</v>
      </c>
      <c r="F26" s="14">
        <f t="shared" si="0"/>
        <v>28129.935975267283</v>
      </c>
      <c r="H26" s="14" cm="1">
        <f t="array" ref="H26:K26">MMULT($C25:$F25,P_Matrix)</f>
        <v>407449.93529392139</v>
      </c>
      <c r="I26" s="14">
        <v>338768.45928437676</v>
      </c>
      <c r="J26" s="14">
        <v>19508.548203088885</v>
      </c>
      <c r="K26" s="14">
        <v>56392.478379431428</v>
      </c>
      <c r="M26" s="12">
        <f>MAX((Inputs!F$25*POWER(1+(Inputs!$C$3-(Inputs!$C$3*(('Steady State'!$A26-1)/Inputs!$C$4))),'Steady State'!$A26-1)),M25)</f>
        <v>17416.835667666524</v>
      </c>
      <c r="N26" s="12">
        <f>MAX((Inputs!G$25*POWER(1+(Inputs!$C$3-(Inputs!$C$3*(('Steady State'!$A26-1)/Inputs!$C$4))),'Steady State'!$A26-1)),N25)</f>
        <v>7464.3581432856536</v>
      </c>
      <c r="O26" s="12">
        <v>0</v>
      </c>
      <c r="P26" s="12">
        <v>0</v>
      </c>
    </row>
    <row r="27" spans="1:16" x14ac:dyDescent="0.35">
      <c r="A27">
        <v>25</v>
      </c>
      <c r="C27" s="14">
        <f t="shared" si="1"/>
        <v>422362.58180166531</v>
      </c>
      <c r="D27" s="14">
        <f t="shared" si="2"/>
        <v>345925.92542988854</v>
      </c>
      <c r="E27" s="14">
        <f t="shared" si="3"/>
        <v>19416.124805745836</v>
      </c>
      <c r="F27" s="14">
        <f t="shared" si="0"/>
        <v>28010.124702449735</v>
      </c>
      <c r="H27" s="14" cm="1">
        <f t="array" ref="H27:K27">MMULT($C26:$F26,P_Matrix)</f>
        <v>404787.94769847812</v>
      </c>
      <c r="I27" s="14">
        <v>338393.93938566546</v>
      </c>
      <c r="J27" s="14">
        <v>19416.124805745836</v>
      </c>
      <c r="K27" s="14">
        <v>56140.060677717018</v>
      </c>
      <c r="M27" s="12">
        <f>MAX((Inputs!F$25*POWER(1+(Inputs!$C$3-(Inputs!$C$3*(('Steady State'!$A27-1)/Inputs!$C$4))),'Steady State'!$A27-1)),M26)</f>
        <v>17574.63410318716</v>
      </c>
      <c r="N27" s="12">
        <f>MAX((Inputs!G$25*POWER(1+(Inputs!$C$3-(Inputs!$C$3*(('Steady State'!$A27-1)/Inputs!$C$4))),'Steady State'!$A27-1)),N26)</f>
        <v>7531.9860442230693</v>
      </c>
      <c r="O27" s="12">
        <v>0</v>
      </c>
      <c r="P27" s="12">
        <v>0</v>
      </c>
    </row>
    <row r="28" spans="1:16" x14ac:dyDescent="0.35">
      <c r="A28">
        <v>26</v>
      </c>
      <c r="C28" s="14">
        <f t="shared" si="1"/>
        <v>420154.85801998765</v>
      </c>
      <c r="D28" s="14">
        <f t="shared" si="2"/>
        <v>345647.6124882357</v>
      </c>
      <c r="E28" s="14">
        <f t="shared" si="3"/>
        <v>19332.559955763041</v>
      </c>
      <c r="F28" s="14">
        <f t="shared" si="0"/>
        <v>27902.686418383077</v>
      </c>
      <c r="H28" s="14" cm="1">
        <f t="array" ref="H28:K28">MMULT($C27:$F27,P_Matrix)</f>
        <v>402421.69862843881</v>
      </c>
      <c r="I28" s="14">
        <v>338047.68703471473</v>
      </c>
      <c r="J28" s="14">
        <v>19332.559955763041</v>
      </c>
      <c r="K28" s="14">
        <v>55912.811120832812</v>
      </c>
      <c r="M28" s="12">
        <f>MAX((Inputs!F$25*POWER(1+(Inputs!$C$3-(Inputs!$C$3*(('Steady State'!$A28-1)/Inputs!$C$4))),'Steady State'!$A28-1)),M27)</f>
        <v>17733.159391548856</v>
      </c>
      <c r="N28" s="12">
        <f>MAX((Inputs!G$25*POWER(1+(Inputs!$C$3-(Inputs!$C$3*(('Steady State'!$A28-1)/Inputs!$C$4))),'Steady State'!$A28-1)),N27)</f>
        <v>7599.9254535209384</v>
      </c>
      <c r="O28" s="12">
        <v>0</v>
      </c>
      <c r="P28" s="12">
        <v>0</v>
      </c>
    </row>
    <row r="29" spans="1:16" x14ac:dyDescent="0.35">
      <c r="A29">
        <v>27</v>
      </c>
      <c r="C29" s="14">
        <f t="shared" si="1"/>
        <v>418227.70410538645</v>
      </c>
      <c r="D29" s="14">
        <f t="shared" si="2"/>
        <v>345403.130784643</v>
      </c>
      <c r="E29" s="14">
        <f t="shared" si="3"/>
        <v>19257.56067854006</v>
      </c>
      <c r="F29" s="14">
        <f t="shared" si="0"/>
        <v>27807.214104187464</v>
      </c>
      <c r="H29" s="14" cm="1">
        <f t="array" ref="H29:K29">MMULT($C28:$F28,P_Matrix)</f>
        <v>400335.29865924706</v>
      </c>
      <c r="I29" s="14">
        <v>337734.9570220118</v>
      </c>
      <c r="J29" s="14">
        <v>19257.56067854006</v>
      </c>
      <c r="K29" s="14">
        <v>55709.90052257054</v>
      </c>
      <c r="M29" s="12">
        <f>MAX((Inputs!F$25*POWER(1+(Inputs!$C$3-(Inputs!$C$3*(('Steady State'!$A29-1)/Inputs!$C$4))),'Steady State'!$A29-1)),M28)</f>
        <v>17892.405446139393</v>
      </c>
      <c r="N29" s="12">
        <f>MAX((Inputs!G$25*POWER(1+(Inputs!$C$3-(Inputs!$C$3*(('Steady State'!$A29-1)/Inputs!$C$4))),'Steady State'!$A29-1)),N28)</f>
        <v>7668.1737626311678</v>
      </c>
      <c r="O29" s="12">
        <v>0</v>
      </c>
      <c r="P29" s="12">
        <v>0</v>
      </c>
    </row>
    <row r="30" spans="1:16" x14ac:dyDescent="0.35">
      <c r="A30">
        <v>28</v>
      </c>
      <c r="C30" s="14">
        <f t="shared" si="1"/>
        <v>416566.19527368352</v>
      </c>
      <c r="D30" s="14">
        <f t="shared" si="2"/>
        <v>345197.13466383977</v>
      </c>
      <c r="E30" s="14">
        <f t="shared" si="3"/>
        <v>19190.844756024329</v>
      </c>
      <c r="F30" s="14">
        <f t="shared" si="0"/>
        <v>27723.315216335897</v>
      </c>
      <c r="H30" s="14" cm="1">
        <f t="array" ref="H30:K30">MMULT($C29:$F29,P_Matrix)</f>
        <v>398513.82923476369</v>
      </c>
      <c r="I30" s="14">
        <v>337460.40636144555</v>
      </c>
      <c r="J30" s="14">
        <v>19190.844756024329</v>
      </c>
      <c r="K30" s="14">
        <v>55530.529320523361</v>
      </c>
      <c r="M30" s="12">
        <f>MAX((Inputs!F$25*POWER(1+(Inputs!$C$3-(Inputs!$C$3*(('Steady State'!$A30-1)/Inputs!$C$4))),'Steady State'!$A30-1)),M29)</f>
        <v>18052.366038919841</v>
      </c>
      <c r="N30" s="12">
        <f>MAX((Inputs!G$25*POWER(1+(Inputs!$C$3-(Inputs!$C$3*(('Steady State'!$A30-1)/Inputs!$C$4))),'Steady State'!$A30-1)),N29)</f>
        <v>7736.7283023942173</v>
      </c>
      <c r="O30" s="12">
        <v>0</v>
      </c>
      <c r="P30" s="12">
        <v>0</v>
      </c>
    </row>
    <row r="31" spans="1:16" x14ac:dyDescent="0.35">
      <c r="A31">
        <v>29</v>
      </c>
      <c r="C31" s="14">
        <f t="shared" si="1"/>
        <v>415156.31417964376</v>
      </c>
      <c r="D31" s="14">
        <f t="shared" si="2"/>
        <v>345033.73041684006</v>
      </c>
      <c r="E31" s="14">
        <f t="shared" si="3"/>
        <v>19132.140152989828</v>
      </c>
      <c r="F31" s="14">
        <f t="shared" si="0"/>
        <v>27650.61108713178</v>
      </c>
      <c r="H31" s="14" cm="1">
        <f t="array" ref="H31:K31">MMULT($C30:$F30,P_Matrix)</f>
        <v>396943.27937950334</v>
      </c>
      <c r="I31" s="14">
        <v>337228.14407392271</v>
      </c>
      <c r="J31" s="14">
        <v>19132.140152989828</v>
      </c>
      <c r="K31" s="14">
        <v>55373.926303467677</v>
      </c>
      <c r="M31" s="12">
        <f>MAX((Inputs!F$25*POWER(1+(Inputs!$C$3-(Inputs!$C$3*(('Steady State'!$A31-1)/Inputs!$C$4))),'Steady State'!$A31-1)),M30)</f>
        <v>18213.03480014042</v>
      </c>
      <c r="N31" s="12">
        <f>MAX((Inputs!G$25*POWER(1+(Inputs!$C$3-(Inputs!$C$3*(('Steady State'!$A31-1)/Inputs!$C$4))),'Steady State'!$A31-1)),N30)</f>
        <v>7805.5863429173232</v>
      </c>
      <c r="O31" s="12">
        <v>0</v>
      </c>
      <c r="P31" s="12">
        <v>0</v>
      </c>
    </row>
    <row r="32" spans="1:16" x14ac:dyDescent="0.35">
      <c r="A32">
        <v>30</v>
      </c>
      <c r="C32" s="14">
        <f t="shared" si="1"/>
        <v>413984.89186641609</v>
      </c>
      <c r="D32" s="14">
        <f t="shared" si="2"/>
        <v>344916.52228070481</v>
      </c>
      <c r="E32" s="14">
        <f t="shared" si="3"/>
        <v>19081.184537758738</v>
      </c>
      <c r="F32" s="14">
        <f t="shared" si="0"/>
        <v>27588.736376141969</v>
      </c>
      <c r="H32" s="14" cm="1">
        <f t="array" ref="H32:K32">MMULT($C31:$F31,P_Matrix)</f>
        <v>395610.4866483325</v>
      </c>
      <c r="I32" s="14">
        <v>337041.77718724043</v>
      </c>
      <c r="J32" s="14">
        <v>19081.184537758738</v>
      </c>
      <c r="K32" s="14">
        <v>55239.347463273749</v>
      </c>
      <c r="M32" s="12">
        <f>MAX((Inputs!F$25*POWER(1+(Inputs!$C$3-(Inputs!$C$3*(('Steady State'!$A32-1)/Inputs!$C$4))),'Steady State'!$A32-1)),M31)</f>
        <v>18374.405218083612</v>
      </c>
      <c r="N32" s="12">
        <f>MAX((Inputs!G$25*POWER(1+(Inputs!$C$3-(Inputs!$C$3*(('Steady State'!$A32-1)/Inputs!$C$4))),'Steady State'!$A32-1)),N31)</f>
        <v>7874.7450934644048</v>
      </c>
      <c r="O32" s="12">
        <v>0</v>
      </c>
      <c r="P32" s="12">
        <v>0</v>
      </c>
    </row>
    <row r="33" spans="1:16" x14ac:dyDescent="0.35">
      <c r="A33">
        <v>31</v>
      </c>
      <c r="C33" s="14">
        <f t="shared" si="1"/>
        <v>413039.55266984599</v>
      </c>
      <c r="D33" s="14">
        <f t="shared" si="2"/>
        <v>344848.65493324236</v>
      </c>
      <c r="E33" s="14">
        <f t="shared" si="3"/>
        <v>19037.724864126452</v>
      </c>
      <c r="F33" s="14">
        <f t="shared" si="0"/>
        <v>27537.338558853313</v>
      </c>
      <c r="H33" s="14" cm="1">
        <f t="array" ref="H33:K33">MMULT($C32:$F32,P_Matrix)</f>
        <v>394503.08203101403</v>
      </c>
      <c r="I33" s="14">
        <v>336904.45323088579</v>
      </c>
      <c r="J33" s="14">
        <v>19037.724864126452</v>
      </c>
      <c r="K33" s="14">
        <v>55126.074934995282</v>
      </c>
      <c r="M33" s="12">
        <f>MAX((Inputs!F$25*POWER(1+(Inputs!$C$3-(Inputs!$C$3*(('Steady State'!$A33-1)/Inputs!$C$4))),'Steady State'!$A33-1)),M32)</f>
        <v>18536.470638831957</v>
      </c>
      <c r="N33" s="12">
        <f>MAX((Inputs!G$25*POWER(1+(Inputs!$C$3-(Inputs!$C$3*(('Steady State'!$A33-1)/Inputs!$C$4))),'Steady State'!$A33-1)),N32)</f>
        <v>7944.2017023565531</v>
      </c>
      <c r="O33" s="12">
        <v>0</v>
      </c>
      <c r="P33" s="12">
        <v>0</v>
      </c>
    </row>
    <row r="34" spans="1:16" x14ac:dyDescent="0.35">
      <c r="A34">
        <v>32</v>
      </c>
      <c r="C34" s="14">
        <f t="shared" si="1"/>
        <v>412308.66281146323</v>
      </c>
      <c r="D34" s="14">
        <f t="shared" si="2"/>
        <v>344832.85274006764</v>
      </c>
      <c r="E34" s="14">
        <f t="shared" si="3"/>
        <v>19001.516994506754</v>
      </c>
      <c r="F34" s="14">
        <f t="shared" si="0"/>
        <v>27496.077444124261</v>
      </c>
      <c r="H34" s="14" cm="1">
        <f t="array" ref="H34:K34">MMULT($C33:$F33,P_Matrix)</f>
        <v>393609.43854540033</v>
      </c>
      <c r="I34" s="14">
        <v>336818.89948318352</v>
      </c>
      <c r="J34" s="14">
        <v>19001.516994506754</v>
      </c>
      <c r="K34" s="14">
        <v>55033.416002977574</v>
      </c>
      <c r="M34" s="12">
        <f>MAX((Inputs!F$25*POWER(1+(Inputs!$C$3-(Inputs!$C$3*(('Steady State'!$A34-1)/Inputs!$C$4))),'Steady State'!$A34-1)),M33)</f>
        <v>18699.224266062894</v>
      </c>
      <c r="N34" s="12">
        <f>MAX((Inputs!G$25*POWER(1+(Inputs!$C$3-(Inputs!$C$3*(('Steady State'!$A34-1)/Inputs!$C$4))),'Steady State'!$A34-1)),N33)</f>
        <v>8013.9532568840978</v>
      </c>
      <c r="O34" s="12">
        <v>0</v>
      </c>
      <c r="P34" s="12">
        <v>0</v>
      </c>
    </row>
    <row r="35" spans="1:16" x14ac:dyDescent="0.35">
      <c r="A35">
        <v>33</v>
      </c>
      <c r="C35" s="14">
        <f t="shared" si="1"/>
        <v>411781.28243049729</v>
      </c>
      <c r="D35" s="14">
        <f t="shared" si="2"/>
        <v>344871.45599224907</v>
      </c>
      <c r="E35" s="14">
        <f t="shared" si="3"/>
        <v>18972.325352219363</v>
      </c>
      <c r="F35" s="14">
        <f t="shared" si="0"/>
        <v>27464.624715172613</v>
      </c>
      <c r="H35" s="14" cm="1">
        <f t="array" ref="H35:K35">MMULT($C34:$F34,P_Matrix)</f>
        <v>392918.62326962675</v>
      </c>
      <c r="I35" s="14">
        <v>336787.45920901885</v>
      </c>
      <c r="J35" s="14">
        <v>18972.325352219363</v>
      </c>
      <c r="K35" s="14">
        <v>54960.702159296874</v>
      </c>
      <c r="M35" s="12">
        <f>MAX((Inputs!F$25*POWER(1+(Inputs!$C$3-(Inputs!$C$3*(('Steady State'!$A35-1)/Inputs!$C$4))),'Steady State'!$A35-1)),M34)</f>
        <v>18862.659160870553</v>
      </c>
      <c r="N35" s="12">
        <f>MAX((Inputs!G$25*POWER(1+(Inputs!$C$3-(Inputs!$C$3*(('Steady State'!$A35-1)/Inputs!$C$4))),'Steady State'!$A35-1)),N34)</f>
        <v>8083.9967832302373</v>
      </c>
      <c r="O35" s="12">
        <v>0</v>
      </c>
      <c r="P35" s="12">
        <v>0</v>
      </c>
    </row>
    <row r="36" spans="1:16" x14ac:dyDescent="0.35">
      <c r="A36">
        <v>34</v>
      </c>
      <c r="C36" s="14">
        <f t="shared" si="1"/>
        <v>411447.12082142505</v>
      </c>
      <c r="D36" s="14">
        <f t="shared" si="2"/>
        <v>344966.45435526315</v>
      </c>
      <c r="E36" s="14">
        <f t="shared" si="3"/>
        <v>18949.922595559081</v>
      </c>
      <c r="F36" s="14">
        <f t="shared" si="0"/>
        <v>27442.663490737235</v>
      </c>
      <c r="H36" s="14" cm="1">
        <f t="array" ref="H36:K36">MMULT($C35:$F35,P_Matrix)</f>
        <v>392420.35257981194</v>
      </c>
      <c r="I36" s="14">
        <v>336812.12510885752</v>
      </c>
      <c r="J36" s="14">
        <v>18949.922595559081</v>
      </c>
      <c r="K36" s="14">
        <v>54907.288205909848</v>
      </c>
      <c r="M36" s="12">
        <f>MAX((Inputs!F$25*POWER(1+(Inputs!$C$3-(Inputs!$C$3*(('Steady State'!$A36-1)/Inputs!$C$4))),'Steady State'!$A36-1)),M35)</f>
        <v>19026.768241613121</v>
      </c>
      <c r="N36" s="12">
        <f>MAX((Inputs!G$25*POWER(1+(Inputs!$C$3-(Inputs!$C$3*(('Steady State'!$A36-1)/Inputs!$C$4))),'Steady State'!$A36-1)),N35)</f>
        <v>8154.3292464056231</v>
      </c>
      <c r="O36" s="12">
        <v>0</v>
      </c>
      <c r="P36" s="12">
        <v>0</v>
      </c>
    </row>
    <row r="37" spans="1:16" x14ac:dyDescent="0.35">
      <c r="A37">
        <v>35</v>
      </c>
      <c r="C37" s="14">
        <f t="shared" si="1"/>
        <v>411296.49465903739</v>
      </c>
      <c r="D37" s="14">
        <f t="shared" si="2"/>
        <v>345119.51773390191</v>
      </c>
      <c r="E37" s="14">
        <f t="shared" si="3"/>
        <v>18934.089309102332</v>
      </c>
      <c r="F37" s="14">
        <f t="shared" si="0"/>
        <v>27429.887904190415</v>
      </c>
      <c r="H37" s="14" cm="1">
        <f t="array" ref="H37:K37">MMULT($C36:$F36,P_Matrix)</f>
        <v>392104.95037524804</v>
      </c>
      <c r="I37" s="14">
        <v>336894.57018370647</v>
      </c>
      <c r="J37" s="14">
        <v>18934.089309102332</v>
      </c>
      <c r="K37" s="14">
        <v>54872.55139492765</v>
      </c>
      <c r="M37" s="12">
        <f>MAX((Inputs!F$25*POWER(1+(Inputs!$C$3-(Inputs!$C$3*(('Steady State'!$A37-1)/Inputs!$C$4))),'Steady State'!$A37-1)),M36)</f>
        <v>19191.544283789353</v>
      </c>
      <c r="N37" s="12">
        <f>MAX((Inputs!G$25*POWER(1+(Inputs!$C$3-(Inputs!$C$3*(('Steady State'!$A37-1)/Inputs!$C$4))),'Steady State'!$A37-1)),N36)</f>
        <v>8224.9475501954366</v>
      </c>
      <c r="O37" s="12">
        <v>0</v>
      </c>
      <c r="P37" s="12">
        <v>0</v>
      </c>
    </row>
    <row r="38" spans="1:16" x14ac:dyDescent="0.35">
      <c r="A38">
        <v>36</v>
      </c>
      <c r="C38" s="14">
        <f t="shared" si="1"/>
        <v>411320.28900768451</v>
      </c>
      <c r="D38" s="14">
        <f t="shared" si="2"/>
        <v>345332.02474295988</v>
      </c>
      <c r="E38" s="14">
        <f t="shared" si="3"/>
        <v>18924.613709390793</v>
      </c>
      <c r="F38" s="14">
        <f t="shared" si="0"/>
        <v>27426.002699063763</v>
      </c>
      <c r="H38" s="14" cm="1">
        <f t="array" ref="H38:K38">MMULT($C37:$F37,P_Matrix)</f>
        <v>391963.30908774439</v>
      </c>
      <c r="I38" s="14">
        <v>337036.1762058427</v>
      </c>
      <c r="J38" s="14">
        <v>18924.613709390793</v>
      </c>
      <c r="K38" s="14">
        <v>54855.890603254178</v>
      </c>
      <c r="M38" s="12">
        <f>MAX((Inputs!F$25*POWER(1+(Inputs!$C$3-(Inputs!$C$3*(('Steady State'!$A38-1)/Inputs!$C$4))),'Steady State'!$A38-1)),M37)</f>
        <v>19356.97991994012</v>
      </c>
      <c r="N38" s="12">
        <f>MAX((Inputs!G$25*POWER(1+(Inputs!$C$3-(Inputs!$C$3*(('Steady State'!$A38-1)/Inputs!$C$4))),'Steady State'!$A38-1)),N37)</f>
        <v>8295.8485371171937</v>
      </c>
      <c r="O38" s="12">
        <v>0</v>
      </c>
      <c r="P38" s="12">
        <v>0</v>
      </c>
    </row>
    <row r="39" spans="1:16" x14ac:dyDescent="0.35">
      <c r="A39">
        <v>37</v>
      </c>
      <c r="C39" s="14">
        <f t="shared" si="1"/>
        <v>411509.92092517199</v>
      </c>
      <c r="D39" s="14">
        <f t="shared" si="2"/>
        <v>345605.08895982651</v>
      </c>
      <c r="E39" s="14">
        <f t="shared" si="3"/>
        <v>18921.291363140921</v>
      </c>
      <c r="F39" s="14">
        <f t="shared" si="0"/>
        <v>27430.722839867034</v>
      </c>
      <c r="H39" s="14" cm="1">
        <f t="array" ref="H39:K39">MMULT($C38:$F38,P_Matrix)</f>
        <v>391986.85328559211</v>
      </c>
      <c r="I39" s="14">
        <v>337238.05997143511</v>
      </c>
      <c r="J39" s="14">
        <v>18921.291363140921</v>
      </c>
      <c r="K39" s="14">
        <v>54856.725538930797</v>
      </c>
      <c r="M39" s="12">
        <f>MAX((Inputs!F$25*POWER(1+(Inputs!$C$3-(Inputs!$C$3*(('Steady State'!$A39-1)/Inputs!$C$4))),'Steady State'!$A39-1)),M38)</f>
        <v>19523.067639579869</v>
      </c>
      <c r="N39" s="12">
        <f>MAX((Inputs!G$25*POWER(1+(Inputs!$C$3-(Inputs!$C$3*(('Steady State'!$A39-1)/Inputs!$C$4))),'Steady State'!$A39-1)),N38)</f>
        <v>8367.0289883913738</v>
      </c>
      <c r="O39" s="12">
        <v>0</v>
      </c>
      <c r="P39" s="12">
        <v>0</v>
      </c>
    </row>
    <row r="40" spans="1:16" x14ac:dyDescent="0.35">
      <c r="A40">
        <v>38</v>
      </c>
      <c r="C40" s="14">
        <f t="shared" si="1"/>
        <v>411857.305484729</v>
      </c>
      <c r="D40" s="14">
        <f t="shared" si="2"/>
        <v>345939.58312241931</v>
      </c>
      <c r="E40" s="14">
        <f t="shared" si="3"/>
        <v>18923.924916734537</v>
      </c>
      <c r="F40" s="14">
        <f t="shared" si="0"/>
        <v>27443.773137335185</v>
      </c>
      <c r="H40" s="14" cm="1">
        <f t="array" ref="H40:K40">MMULT($C39:$F39,P_Matrix)</f>
        <v>392167.50569557399</v>
      </c>
      <c r="I40" s="14">
        <v>337501.09749849571</v>
      </c>
      <c r="J40" s="14">
        <v>18923.924916734537</v>
      </c>
      <c r="K40" s="14">
        <v>54874.495977202219</v>
      </c>
      <c r="M40" s="12">
        <f>MAX((Inputs!F$25*POWER(1+(Inputs!$C$3-(Inputs!$C$3*(('Steady State'!$A40-1)/Inputs!$C$4))),'Steady State'!$A40-1)),M39)</f>
        <v>19689.799789155</v>
      </c>
      <c r="N40" s="12">
        <f>MAX((Inputs!G$25*POWER(1+(Inputs!$C$3-(Inputs!$C$3*(('Steady State'!$A40-1)/Inputs!$C$4))),'Steady State'!$A40-1)),N39)</f>
        <v>8438.4856239235723</v>
      </c>
      <c r="O40" s="12">
        <v>0</v>
      </c>
      <c r="P40" s="12">
        <v>0</v>
      </c>
    </row>
    <row r="41" spans="1:16" x14ac:dyDescent="0.35">
      <c r="A41">
        <v>39</v>
      </c>
      <c r="C41" s="14">
        <f t="shared" si="1"/>
        <v>412354.82405057293</v>
      </c>
      <c r="D41" s="14">
        <f t="shared" si="2"/>
        <v>346336.16142412822</v>
      </c>
      <c r="E41" s="14">
        <f t="shared" si="3"/>
        <v>18932.323836112206</v>
      </c>
      <c r="F41" s="14">
        <f t="shared" si="0"/>
        <v>27464.887887398087</v>
      </c>
      <c r="H41" s="14" cm="1">
        <f t="array" ref="H41:K41">MMULT($C40:$F40,P_Matrix)</f>
        <v>392497.6554785429</v>
      </c>
      <c r="I41" s="14">
        <v>337825.94632182963</v>
      </c>
      <c r="J41" s="14">
        <v>18932.323836112206</v>
      </c>
      <c r="K41" s="14">
        <v>54908.661024733272</v>
      </c>
      <c r="M41" s="12">
        <f>MAX((Inputs!F$25*POWER(1+(Inputs!$C$3-(Inputs!$C$3*(('Steady State'!$A41-1)/Inputs!$C$4))),'Steady State'!$A41-1)),M40)</f>
        <v>19857.168572030037</v>
      </c>
      <c r="N41" s="12">
        <f>MAX((Inputs!G$25*POWER(1+(Inputs!$C$3-(Inputs!$C$3*(('Steady State'!$A41-1)/Inputs!$C$4))),'Steady State'!$A41-1)),N40)</f>
        <v>8510.2151022985872</v>
      </c>
      <c r="O41" s="12">
        <v>0</v>
      </c>
      <c r="P41" s="12">
        <v>0</v>
      </c>
    </row>
    <row r="42" spans="1:16" x14ac:dyDescent="0.35">
      <c r="A42">
        <v>40</v>
      </c>
      <c r="C42" s="14">
        <f t="shared" si="1"/>
        <v>412995.2946538945</v>
      </c>
      <c r="D42" s="14">
        <f t="shared" si="2"/>
        <v>346795.28004652611</v>
      </c>
      <c r="E42" s="14">
        <f t="shared" si="3"/>
        <v>18946.304156414335</v>
      </c>
      <c r="F42" s="14">
        <f t="shared" si="0"/>
        <v>27493.810523269087</v>
      </c>
      <c r="H42" s="14" cm="1">
        <f t="array" ref="H42:K42">MMULT($C41:$F41,P_Matrix)</f>
        <v>392970.12860539102</v>
      </c>
      <c r="I42" s="14">
        <v>338213.0660257389</v>
      </c>
      <c r="J42" s="14">
        <v>18946.304156414335</v>
      </c>
      <c r="K42" s="14">
        <v>54958.698410667173</v>
      </c>
      <c r="M42" s="12">
        <f>MAX((Inputs!F$25*POWER(1+(Inputs!$C$3-(Inputs!$C$3*(('Steady State'!$A42-1)/Inputs!$C$4))),'Steady State'!$A42-1)),M41)</f>
        <v>20025.166048503452</v>
      </c>
      <c r="N42" s="12">
        <f>MAX((Inputs!G$25*POWER(1+(Inputs!$C$3-(Inputs!$C$3*(('Steady State'!$A42-1)/Inputs!$C$4))),'Steady State'!$A42-1)),N41)</f>
        <v>8582.2140207871926</v>
      </c>
      <c r="O42" s="12">
        <v>0</v>
      </c>
      <c r="P42" s="12">
        <v>0</v>
      </c>
    </row>
    <row r="43" spans="1:16" x14ac:dyDescent="0.35">
      <c r="A43">
        <v>41</v>
      </c>
      <c r="C43" s="14">
        <f t="shared" si="1"/>
        <v>413771.94432661863</v>
      </c>
      <c r="D43" s="14">
        <f t="shared" si="2"/>
        <v>347317.21606046322</v>
      </c>
      <c r="E43" s="14">
        <f t="shared" si="3"/>
        <v>18965.688240852807</v>
      </c>
      <c r="F43" s="14">
        <f t="shared" si="0"/>
        <v>27530.293280116195</v>
      </c>
      <c r="H43" s="14" cm="1">
        <f t="array" ref="H43:K43">MMULT($C42:$F42,P_Matrix)</f>
        <v>393578.16019076749</v>
      </c>
      <c r="I43" s="14">
        <v>338662.73714509845</v>
      </c>
      <c r="J43" s="14">
        <v>18965.688240852807</v>
      </c>
      <c r="K43" s="14">
        <v>55024.103803385282</v>
      </c>
      <c r="M43" s="12">
        <f>MAX((Inputs!F$25*POWER(1+(Inputs!$C$3-(Inputs!$C$3*(('Steady State'!$A43-1)/Inputs!$C$4))),'Steady State'!$A43-1)),M42)</f>
        <v>20193.784135851161</v>
      </c>
      <c r="N43" s="12">
        <f>MAX((Inputs!G$25*POWER(1+(Inputs!$C$3-(Inputs!$C$3*(('Steady State'!$A43-1)/Inputs!$C$4))),'Steady State'!$A43-1)),N42)</f>
        <v>8654.4789153647835</v>
      </c>
      <c r="O43" s="12">
        <v>0</v>
      </c>
      <c r="P43" s="12">
        <v>0</v>
      </c>
    </row>
    <row r="44" spans="1:16" x14ac:dyDescent="0.35">
      <c r="A44">
        <v>42</v>
      </c>
      <c r="C44" s="14">
        <f t="shared" si="1"/>
        <v>414678.38326011028</v>
      </c>
      <c r="D44" s="14">
        <f t="shared" si="2"/>
        <v>347902.08481675747</v>
      </c>
      <c r="E44" s="14">
        <f t="shared" si="3"/>
        <v>18990.304548382501</v>
      </c>
      <c r="F44" s="14">
        <f t="shared" si="0"/>
        <v>27574.096871825655</v>
      </c>
      <c r="H44" s="14" cm="1">
        <f t="array" ref="H44:K44">MMULT($C43:$F43,P_Matrix)</f>
        <v>394315.36865171138</v>
      </c>
      <c r="I44" s="14">
        <v>339175.0785560151</v>
      </c>
      <c r="J44" s="14">
        <v>18990.304548382501</v>
      </c>
      <c r="K44" s="14">
        <v>55104.39015194185</v>
      </c>
      <c r="M44" s="12">
        <f>MAX((Inputs!F$25*POWER(1+(Inputs!$C$3-(Inputs!$C$3*(('Steady State'!$A44-1)/Inputs!$C$4))),'Steady State'!$A44-1)),M43)</f>
        <v>20363.014608398877</v>
      </c>
      <c r="N44" s="12">
        <f>MAX((Inputs!G$25*POWER(1+(Inputs!$C$3-(Inputs!$C$3*(('Steady State'!$A44-1)/Inputs!$C$4))),'Steady State'!$A44-1)),N43)</f>
        <v>8727.0062607423752</v>
      </c>
      <c r="O44" s="12">
        <v>0</v>
      </c>
      <c r="P44" s="12">
        <v>0</v>
      </c>
    </row>
    <row r="45" spans="1:16" x14ac:dyDescent="0.35">
      <c r="A45">
        <v>43</v>
      </c>
      <c r="C45" s="14">
        <f t="shared" si="1"/>
        <v>415708.58066513482</v>
      </c>
      <c r="D45" s="14">
        <f t="shared" si="2"/>
        <v>348549.85593895178</v>
      </c>
      <c r="E45" s="14">
        <f t="shared" si="3"/>
        <v>19019.987409798177</v>
      </c>
      <c r="F45" s="14">
        <f t="shared" si="0"/>
        <v>27624.990179401655</v>
      </c>
      <c r="H45" s="14" cm="1">
        <f t="array" ref="H45:K45">MMULT($C44:$F44,P_Matrix)</f>
        <v>395175.73156750947</v>
      </c>
      <c r="I45" s="14">
        <v>339750.0634685409</v>
      </c>
      <c r="J45" s="14">
        <v>19019.987409798177</v>
      </c>
      <c r="K45" s="14">
        <v>55199.08705122731</v>
      </c>
      <c r="M45" s="12">
        <f>MAX((Inputs!F$25*POWER(1+(Inputs!$C$3-(Inputs!$C$3*(('Steady State'!$A45-1)/Inputs!$C$4))),'Steady State'!$A45-1)),M44)</f>
        <v>20532.849097625356</v>
      </c>
      <c r="N45" s="12">
        <f>MAX((Inputs!G$25*POWER(1+(Inputs!$C$3-(Inputs!$C$3*(('Steady State'!$A45-1)/Inputs!$C$4))),'Steady State'!$A45-1)),N44)</f>
        <v>8799.7924704108664</v>
      </c>
      <c r="O45" s="12">
        <v>0</v>
      </c>
      <c r="P45" s="12">
        <v>0</v>
      </c>
    </row>
    <row r="46" spans="1:16" x14ac:dyDescent="0.35">
      <c r="A46">
        <v>44</v>
      </c>
      <c r="C46" s="14">
        <f t="shared" si="1"/>
        <v>416856.84221788833</v>
      </c>
      <c r="D46" s="14">
        <f t="shared" si="2"/>
        <v>349260.36802249349</v>
      </c>
      <c r="E46" s="14">
        <f t="shared" si="3"/>
        <v>19054.576811919775</v>
      </c>
      <c r="F46" s="14">
        <f t="shared" si="0"/>
        <v>27682.749950572143</v>
      </c>
      <c r="H46" s="14" cm="1">
        <f t="array" ref="H46:K46">MMULT($C45:$F45,P_Matrix)</f>
        <v>396153.56312559603</v>
      </c>
      <c r="I46" s="14">
        <v>340387.53412579681</v>
      </c>
      <c r="J46" s="14">
        <v>19054.576811919775</v>
      </c>
      <c r="K46" s="14">
        <v>55307.740129973798</v>
      </c>
      <c r="M46" s="12">
        <f>MAX((Inputs!F$25*POWER(1+(Inputs!$C$3-(Inputs!$C$3*(('Steady State'!$A46-1)/Inputs!$C$4))),'Steady State'!$A46-1)),M45)</f>
        <v>20703.279092292316</v>
      </c>
      <c r="N46" s="12">
        <f>MAX((Inputs!G$25*POWER(1+(Inputs!$C$3-(Inputs!$C$3*(('Steady State'!$A46-1)/Inputs!$C$4))),'Steady State'!$A46-1)),N45)</f>
        <v>8872.8338966967076</v>
      </c>
      <c r="O46" s="12">
        <v>0</v>
      </c>
      <c r="P46" s="12">
        <v>0</v>
      </c>
    </row>
    <row r="47" spans="1:16" x14ac:dyDescent="0.35">
      <c r="A47">
        <v>45</v>
      </c>
      <c r="C47" s="14">
        <f t="shared" si="1"/>
        <v>418117.78898483858</v>
      </c>
      <c r="D47" s="14">
        <f t="shared" si="2"/>
        <v>350033.34213715396</v>
      </c>
      <c r="E47" s="14">
        <f t="shared" si="3"/>
        <v>19093.918189555683</v>
      </c>
      <c r="F47" s="14">
        <f t="shared" si="0"/>
        <v>27747.160510191396</v>
      </c>
      <c r="H47" s="14" cm="1">
        <f t="array" ref="H47:K47">MMULT($C46:$F46,P_Matrix)</f>
        <v>397243.49304623192</v>
      </c>
      <c r="I47" s="14">
        <v>341087.21530632256</v>
      </c>
      <c r="J47" s="14">
        <v>19093.918189555683</v>
      </c>
      <c r="K47" s="14">
        <v>55429.910460763538</v>
      </c>
      <c r="M47" s="12">
        <f>MAX((Inputs!F$25*POWER(1+(Inputs!$C$3-(Inputs!$C$3*(('Steady State'!$A47-1)/Inputs!$C$4))),'Steady State'!$A47-1)),M46)</f>
        <v>20874.295938606676</v>
      </c>
      <c r="N47" s="12">
        <f>MAX((Inputs!G$25*POWER(1+(Inputs!$C$3-(Inputs!$C$3*(('Steady State'!$A47-1)/Inputs!$C$4))),'Steady State'!$A47-1)),N46)</f>
        <v>8946.126830831432</v>
      </c>
      <c r="O47" s="12">
        <v>0</v>
      </c>
      <c r="P47" s="12">
        <v>0</v>
      </c>
    </row>
    <row r="48" spans="1:16" x14ac:dyDescent="0.35">
      <c r="A48">
        <v>46</v>
      </c>
      <c r="C48" s="14">
        <f t="shared" si="1"/>
        <v>419486.33772648545</v>
      </c>
      <c r="D48" s="14">
        <f t="shared" si="2"/>
        <v>350868.39422250376</v>
      </c>
      <c r="E48" s="14">
        <f t="shared" si="3"/>
        <v>19137.862224953336</v>
      </c>
      <c r="F48" s="14">
        <f t="shared" si="0"/>
        <v>27818.0134810487</v>
      </c>
      <c r="H48" s="14" cm="1">
        <f t="array" ref="H48:K48">MMULT($C47:$F47,P_Matrix)</f>
        <v>398440.44688607531</v>
      </c>
      <c r="I48" s="14">
        <v>341848.72671947081</v>
      </c>
      <c r="J48" s="14">
        <v>19137.862224953336</v>
      </c>
      <c r="K48" s="14">
        <v>55565.173991240095</v>
      </c>
      <c r="M48" s="12">
        <f>MAX((Inputs!F$25*POWER(1+(Inputs!$C$3-(Inputs!$C$3*(('Steady State'!$A48-1)/Inputs!$C$4))),'Steady State'!$A48-1)),M47)</f>
        <v>21045.89084041016</v>
      </c>
      <c r="N48" s="12">
        <f>MAX((Inputs!G$25*POWER(1+(Inputs!$C$3-(Inputs!$C$3*(('Steady State'!$A48-1)/Inputs!$C$4))),'Steady State'!$A48-1)),N47)</f>
        <v>9019.6675030329261</v>
      </c>
      <c r="O48" s="12">
        <v>0</v>
      </c>
      <c r="P48" s="12">
        <v>0</v>
      </c>
    </row>
    <row r="49" spans="1:16" x14ac:dyDescent="0.35">
      <c r="A49">
        <v>47</v>
      </c>
      <c r="C49" s="14">
        <f t="shared" si="1"/>
        <v>420957.68248701736</v>
      </c>
      <c r="D49" s="14">
        <f t="shared" si="2"/>
        <v>351765.04645975621</v>
      </c>
      <c r="E49" s="14">
        <f t="shared" si="3"/>
        <v>19186.264654461895</v>
      </c>
      <c r="F49" s="14">
        <f t="shared" si="0"/>
        <v>27895.107514708012</v>
      </c>
      <c r="H49" s="14" cm="1">
        <f t="array" ref="H49:K49">MMULT($C48:$F48,P_Matrix)</f>
        <v>399739.62762761669</v>
      </c>
      <c r="I49" s="14">
        <v>342671.59437715594</v>
      </c>
      <c r="J49" s="14">
        <v>19186.264654461895</v>
      </c>
      <c r="K49" s="14">
        <v>55713.120995756712</v>
      </c>
      <c r="M49" s="12">
        <f>MAX((Inputs!F$25*POWER(1+(Inputs!$C$3-(Inputs!$C$3*(('Steady State'!$A49-1)/Inputs!$C$4))),'Steady State'!$A49-1)),M48)</f>
        <v>21218.054859400676</v>
      </c>
      <c r="N49" s="12">
        <f>MAX((Inputs!G$25*POWER(1+(Inputs!$C$3-(Inputs!$C$3*(('Steady State'!$A49-1)/Inputs!$C$4))),'Steady State'!$A49-1)),N48)</f>
        <v>9093.4520826002899</v>
      </c>
      <c r="O49" s="12">
        <v>0</v>
      </c>
      <c r="P49" s="12">
        <v>0</v>
      </c>
    </row>
    <row r="50" spans="1:16" x14ac:dyDescent="0.35">
      <c r="A50">
        <v>48</v>
      </c>
      <c r="C50" s="14">
        <f t="shared" si="1"/>
        <v>422527.27738322422</v>
      </c>
      <c r="D50" s="14">
        <f t="shared" si="2"/>
        <v>352722.73769725359</v>
      </c>
      <c r="E50" s="14">
        <f t="shared" si="3"/>
        <v>19238.986082144871</v>
      </c>
      <c r="F50" s="14">
        <f t="shared" si="0"/>
        <v>27978.248032018673</v>
      </c>
      <c r="H50" s="14" cm="1">
        <f t="array" ref="H50:K50">MMULT($C49:$F49,P_Matrix)</f>
        <v>401136.49846784008</v>
      </c>
      <c r="I50" s="14">
        <v>343555.26101923181</v>
      </c>
      <c r="J50" s="14">
        <v>19238.986082144871</v>
      </c>
      <c r="K50" s="14">
        <v>55873.355546726685</v>
      </c>
      <c r="M50" s="12">
        <f>MAX((Inputs!F$25*POWER(1+(Inputs!$C$3-(Inputs!$C$3*(('Steady State'!$A50-1)/Inputs!$C$4))),'Steady State'!$A50-1)),M49)</f>
        <v>21390.778915384162</v>
      </c>
      <c r="N50" s="12">
        <f>MAX((Inputs!G$25*POWER(1+(Inputs!$C$3-(Inputs!$C$3*(('Steady State'!$A50-1)/Inputs!$C$4))),'Steady State'!$A50-1)),N49)</f>
        <v>9167.4766780217851</v>
      </c>
      <c r="O50" s="12">
        <v>0</v>
      </c>
      <c r="P50" s="12">
        <v>0</v>
      </c>
    </row>
    <row r="51" spans="1:16" x14ac:dyDescent="0.35">
      <c r="A51">
        <v>49</v>
      </c>
      <c r="C51" s="14">
        <f t="shared" si="1"/>
        <v>424190.82051197201</v>
      </c>
      <c r="D51" s="14">
        <f t="shared" si="2"/>
        <v>353740.83300125727</v>
      </c>
      <c r="E51" s="14">
        <f t="shared" si="3"/>
        <v>19295.8918000917</v>
      </c>
      <c r="F51" s="14">
        <f t="shared" si="0"/>
        <v>28067.246972950554</v>
      </c>
      <c r="H51" s="14" cm="1">
        <f t="array" ref="H51:K51">MMULT($C50:$F50,P_Matrix)</f>
        <v>402626.76672541781</v>
      </c>
      <c r="I51" s="14">
        <v>344499.0956641626</v>
      </c>
      <c r="J51" s="14">
        <v>19295.8918000917</v>
      </c>
      <c r="K51" s="14">
        <v>56045.495004969227</v>
      </c>
      <c r="M51" s="12">
        <f>MAX((Inputs!F$25*POWER(1+(Inputs!$C$3-(Inputs!$C$3*(('Steady State'!$A51-1)/Inputs!$C$4))),'Steady State'!$A51-1)),M50)</f>
        <v>21564.053786554214</v>
      </c>
      <c r="N51" s="12">
        <f>MAX((Inputs!G$25*POWER(1+(Inputs!$C$3-(Inputs!$C$3*(('Steady State'!$A51-1)/Inputs!$C$4))),'Steady State'!$A51-1)),N50)</f>
        <v>9241.7373370946625</v>
      </c>
      <c r="O51" s="12">
        <v>0</v>
      </c>
      <c r="P51" s="12">
        <v>0</v>
      </c>
    </row>
    <row r="52" spans="1:16" x14ac:dyDescent="0.35">
      <c r="A52">
        <v>50</v>
      </c>
      <c r="C52" s="14">
        <f t="shared" si="1"/>
        <v>425944.23890108149</v>
      </c>
      <c r="D52" s="14">
        <f t="shared" si="2"/>
        <v>354818.63239849819</v>
      </c>
      <c r="E52" s="14">
        <f t="shared" si="3"/>
        <v>19356.851615187312</v>
      </c>
      <c r="F52" s="14">
        <f t="shared" si="0"/>
        <v>28161.922555419806</v>
      </c>
      <c r="H52" s="14" cm="1">
        <f t="array" ref="H52:K52">MMULT($C51:$F51,P_Matrix)</f>
        <v>404206.36879127537</v>
      </c>
      <c r="I52" s="14">
        <v>345502.40235143842</v>
      </c>
      <c r="J52" s="14">
        <v>19356.851615187312</v>
      </c>
      <c r="K52" s="14">
        <v>56229.169528370359</v>
      </c>
      <c r="M52" s="12">
        <f>MAX((Inputs!F$25*POWER(1+(Inputs!$C$3-(Inputs!$C$3*(('Steady State'!$A52-1)/Inputs!$C$4))),'Steady State'!$A52-1)),M51)</f>
        <v>21737.870109806136</v>
      </c>
      <c r="N52" s="12">
        <f>MAX((Inputs!G$25*POWER(1+(Inputs!$C$3-(Inputs!$C$3*(('Steady State'!$A52-1)/Inputs!$C$4))),'Steady State'!$A52-1)),N51)</f>
        <v>9316.2300470597729</v>
      </c>
      <c r="O52" s="12">
        <v>0</v>
      </c>
      <c r="P52" s="12">
        <v>0</v>
      </c>
    </row>
    <row r="53" spans="1:16" x14ac:dyDescent="0.35">
      <c r="A53">
        <v>51</v>
      </c>
      <c r="C53" s="14">
        <f t="shared" si="1"/>
        <v>427783.67443359806</v>
      </c>
      <c r="D53" s="14">
        <f t="shared" si="2"/>
        <v>355955.37887210189</v>
      </c>
      <c r="E53" s="14">
        <f t="shared" si="3"/>
        <v>19421.739682108186</v>
      </c>
      <c r="F53" s="14">
        <f t="shared" si="0"/>
        <v>28262.099042784219</v>
      </c>
      <c r="H53" s="14" cm="1">
        <f t="array" ref="H53:K53">MMULT($C52:$F52,P_Matrix)</f>
        <v>405871.45605252031</v>
      </c>
      <c r="I53" s="14">
        <v>346564.42813735426</v>
      </c>
      <c r="J53" s="14">
        <v>19421.739682108186</v>
      </c>
      <c r="K53" s="14">
        <v>56424.021598204024</v>
      </c>
      <c r="M53" s="12">
        <f>MAX((Inputs!F$25*POWER(1+(Inputs!$C$3-(Inputs!$C$3*(('Steady State'!$A53-1)/Inputs!$C$4))),'Steady State'!$A53-1)),M52)</f>
        <v>21912.218381077746</v>
      </c>
      <c r="N53" s="12">
        <f>MAX((Inputs!G$25*POWER(1+(Inputs!$C$3-(Inputs!$C$3*(('Steady State'!$A53-1)/Inputs!$C$4))),'Steady State'!$A53-1)),N52)</f>
        <v>9390.9507347476047</v>
      </c>
      <c r="O53" s="12">
        <v>0</v>
      </c>
      <c r="P53" s="12">
        <v>0</v>
      </c>
    </row>
    <row r="54" spans="1:16" x14ac:dyDescent="0.35">
      <c r="A54">
        <v>52</v>
      </c>
      <c r="C54" s="14">
        <f t="shared" si="1"/>
        <v>429705.47068023938</v>
      </c>
      <c r="D54" s="14">
        <f t="shared" si="2"/>
        <v>357150.2656680136</v>
      </c>
      <c r="E54" s="14">
        <f t="shared" si="3"/>
        <v>19490.434342321911</v>
      </c>
      <c r="F54" s="14">
        <f t="shared" si="0"/>
        <v>28367.606519698042</v>
      </c>
      <c r="H54" s="14" cm="1">
        <f t="array" ref="H54:K54">MMULT($C53:$F53,P_Matrix)</f>
        <v>407618.38172451401</v>
      </c>
      <c r="I54" s="14">
        <v>347684.37040127412</v>
      </c>
      <c r="J54" s="14">
        <v>19490.434342321911</v>
      </c>
      <c r="K54" s="14">
        <v>56629.705562482261</v>
      </c>
      <c r="M54" s="12">
        <f>MAX((Inputs!F$25*POWER(1+(Inputs!$C$3-(Inputs!$C$3*(('Steady State'!$A54-1)/Inputs!$C$4))),'Steady State'!$A54-1)),M53)</f>
        <v>22087.088955725387</v>
      </c>
      <c r="N54" s="12">
        <f>MAX((Inputs!G$25*POWER(1+(Inputs!$C$3-(Inputs!$C$3*(('Steady State'!$A54-1)/Inputs!$C$4))),'Steady State'!$A54-1)),N53)</f>
        <v>9465.8952667394515</v>
      </c>
      <c r="O54" s="12">
        <v>0</v>
      </c>
      <c r="P54" s="12">
        <v>0</v>
      </c>
    </row>
    <row r="55" spans="1:16" x14ac:dyDescent="0.35">
      <c r="A55">
        <v>53</v>
      </c>
      <c r="C55" s="14">
        <f t="shared" si="1"/>
        <v>431706.16057926405</v>
      </c>
      <c r="D55" s="14">
        <f t="shared" si="2"/>
        <v>358402.44296487386</v>
      </c>
      <c r="E55" s="14">
        <f t="shared" si="3"/>
        <v>19562.817968875675</v>
      </c>
      <c r="F55" s="14">
        <f t="shared" si="0"/>
        <v>28478.280676028065</v>
      </c>
      <c r="H55" s="14" cm="1">
        <f t="array" ref="H55:K55">MMULT($C54:$F54,P_Matrix)</f>
        <v>409443.6885303373</v>
      </c>
      <c r="I55" s="14">
        <v>348861.38351533382</v>
      </c>
      <c r="J55" s="14">
        <v>19562.817968875675</v>
      </c>
      <c r="K55" s="14">
        <v>56845.887195726107</v>
      </c>
      <c r="M55" s="12">
        <f>MAX((Inputs!F$25*POWER(1+(Inputs!$C$3-(Inputs!$C$3*(('Steady State'!$A55-1)/Inputs!$C$4))),'Steady State'!$A55-1)),M54)</f>
        <v>22262.472048926735</v>
      </c>
      <c r="N55" s="12">
        <f>MAX((Inputs!G$25*POWER(1+(Inputs!$C$3-(Inputs!$C$3*(('Steady State'!$A55-1)/Inputs!$C$4))),'Steady State'!$A55-1)),N54)</f>
        <v>9541.0594495400292</v>
      </c>
      <c r="O55" s="12">
        <v>0</v>
      </c>
      <c r="P55" s="12">
        <v>0</v>
      </c>
    </row>
    <row r="56" spans="1:16" x14ac:dyDescent="0.35">
      <c r="A56">
        <v>54</v>
      </c>
      <c r="C56" s="14">
        <f t="shared" si="1"/>
        <v>433782.45490716235</v>
      </c>
      <c r="D56" s="14">
        <f t="shared" si="2"/>
        <v>359711.02395642397</v>
      </c>
      <c r="E56" s="14">
        <f t="shared" si="3"/>
        <v>19638.776816766785</v>
      </c>
      <c r="F56" s="14">
        <f t="shared" si="0"/>
        <v>28593.962598543061</v>
      </c>
      <c r="H56" s="14" cm="1">
        <f t="array" ref="H56:K56">MMULT($C55:$F55,P_Matrix)</f>
        <v>411344.0971710445</v>
      </c>
      <c r="I56" s="14">
        <v>350094.58492665918</v>
      </c>
      <c r="J56" s="14">
        <v>19638.776816766785</v>
      </c>
      <c r="K56" s="14">
        <v>57072.243274571127</v>
      </c>
      <c r="M56" s="12">
        <f>MAX((Inputs!F$25*POWER(1+(Inputs!$C$3-(Inputs!$C$3*(('Steady State'!$A56-1)/Inputs!$C$4))),'Steady State'!$A56-1)),M55)</f>
        <v>22438.357736117836</v>
      </c>
      <c r="N56" s="12">
        <f>MAX((Inputs!G$25*POWER(1+(Inputs!$C$3-(Inputs!$C$3*(('Steady State'!$A56-1)/Inputs!$C$4))),'Steady State'!$A56-1)),N55)</f>
        <v>9616.439029764786</v>
      </c>
      <c r="O56" s="12">
        <v>0</v>
      </c>
      <c r="P56" s="12">
        <v>0</v>
      </c>
    </row>
    <row r="57" spans="1:16" x14ac:dyDescent="0.35">
      <c r="A57">
        <v>55</v>
      </c>
      <c r="C57" s="14">
        <f t="shared" si="1"/>
        <v>435931.23148743511</v>
      </c>
      <c r="D57" s="14">
        <f t="shared" si="2"/>
        <v>361075.09039192501</v>
      </c>
      <c r="E57" s="14">
        <f t="shared" si="3"/>
        <v>19718.200878695934</v>
      </c>
      <c r="F57" s="14">
        <f t="shared" si="0"/>
        <v>28714.498570099284</v>
      </c>
      <c r="H57" s="14" cm="1">
        <f t="array" ref="H57:K57">MMULT($C56:$F56,P_Matrix)</f>
        <v>413316.49553397356</v>
      </c>
      <c r="I57" s="14">
        <v>351383.06069758435</v>
      </c>
      <c r="J57" s="14">
        <v>19718.200878695934</v>
      </c>
      <c r="K57" s="14">
        <v>57308.461168642345</v>
      </c>
      <c r="M57" s="12">
        <f>MAX((Inputs!F$25*POWER(1+(Inputs!$C$3-(Inputs!$C$3*(('Steady State'!$A57-1)/Inputs!$C$4))),'Steady State'!$A57-1)),M56)</f>
        <v>22614.735953461572</v>
      </c>
      <c r="N57" s="12">
        <f>MAX((Inputs!G$25*POWER(1+(Inputs!$C$3-(Inputs!$C$3*(('Steady State'!$A57-1)/Inputs!$C$4))),'Steady State'!$A57-1)),N56)</f>
        <v>9692.0296943406738</v>
      </c>
      <c r="O57" s="12">
        <v>0</v>
      </c>
      <c r="P57" s="12">
        <v>0</v>
      </c>
    </row>
    <row r="58" spans="1:16" x14ac:dyDescent="0.35">
      <c r="A58">
        <v>56</v>
      </c>
      <c r="C58" s="14">
        <f t="shared" si="1"/>
        <v>438149.52508832247</v>
      </c>
      <c r="D58" s="14">
        <f t="shared" si="2"/>
        <v>362493.69761673134</v>
      </c>
      <c r="E58" s="14">
        <f t="shared" si="3"/>
        <v>19800.983746011163</v>
      </c>
      <c r="F58" s="14">
        <f t="shared" si="0"/>
        <v>28839.739876054788</v>
      </c>
      <c r="H58" s="14" cm="1">
        <f t="array" ref="H58:K58">MMULT($C57:$F57,P_Matrix)</f>
        <v>415357.92858997779</v>
      </c>
      <c r="I58" s="14">
        <v>352725.87054601219</v>
      </c>
      <c r="J58" s="14">
        <v>19800.983746011163</v>
      </c>
      <c r="K58" s="14">
        <v>57554.238446154071</v>
      </c>
      <c r="M58" s="12">
        <f>MAX((Inputs!F$25*POWER(1+(Inputs!$C$3-(Inputs!$C$3*(('Steady State'!$A58-1)/Inputs!$C$4))),'Steady State'!$A58-1)),M57)</f>
        <v>22791.596498344654</v>
      </c>
      <c r="N58" s="12">
        <f>MAX((Inputs!G$25*POWER(1+(Inputs!$C$3-(Inputs!$C$3*(('Steady State'!$A58-1)/Inputs!$C$4))),'Steady State'!$A58-1)),N57)</f>
        <v>9767.8270707191368</v>
      </c>
      <c r="O58" s="12">
        <v>0</v>
      </c>
      <c r="P58" s="12">
        <v>0</v>
      </c>
    </row>
    <row r="59" spans="1:16" x14ac:dyDescent="0.35">
      <c r="A59">
        <v>57</v>
      </c>
      <c r="C59" s="14">
        <f t="shared" si="1"/>
        <v>440434.51796370238</v>
      </c>
      <c r="D59" s="14">
        <f t="shared" si="2"/>
        <v>363965.87915206642</v>
      </c>
      <c r="E59" s="14">
        <f t="shared" si="3"/>
        <v>19887.022474657235</v>
      </c>
      <c r="F59" s="14">
        <f t="shared" si="0"/>
        <v>28969.542617654406</v>
      </c>
      <c r="H59" s="14" cm="1">
        <f t="array" ref="H59:K59">MMULT($C58:$F58,P_Matrix)</f>
        <v>417465.5889337915</v>
      </c>
      <c r="I59" s="14">
        <v>354122.05242496176</v>
      </c>
      <c r="J59" s="14">
        <v>19887.022474657235</v>
      </c>
      <c r="K59" s="14">
        <v>57809.282493709194</v>
      </c>
      <c r="M59" s="12">
        <f>MAX((Inputs!F$25*POWER(1+(Inputs!$C$3-(Inputs!$C$3*(('Steady State'!$A59-1)/Inputs!$C$4))),'Steady State'!$A59-1)),M58)</f>
        <v>22968.929029910862</v>
      </c>
      <c r="N59" s="12">
        <f>MAX((Inputs!G$25*POWER(1+(Inputs!$C$3-(Inputs!$C$3*(('Steady State'!$A59-1)/Inputs!$C$4))),'Steady State'!$A59-1)),N58)</f>
        <v>9843.8267271046552</v>
      </c>
      <c r="O59" s="12">
        <v>0</v>
      </c>
      <c r="P59" s="12">
        <v>0</v>
      </c>
    </row>
    <row r="60" spans="1:16" x14ac:dyDescent="0.35">
      <c r="A60">
        <v>58</v>
      </c>
      <c r="C60" s="14">
        <f t="shared" si="1"/>
        <v>442783.53099448781</v>
      </c>
      <c r="D60" s="14">
        <f t="shared" si="2"/>
        <v>365490.65085016476</v>
      </c>
      <c r="E60" s="14">
        <f t="shared" si="3"/>
        <v>19976.217455952028</v>
      </c>
      <c r="F60" s="14">
        <f t="shared" si="0"/>
        <v>29103.767532137375</v>
      </c>
      <c r="H60" s="14" cm="1">
        <f t="array" ref="H60:K60">MMULT($C59:$F59,P_Matrix)</f>
        <v>419636.80792486662</v>
      </c>
      <c r="I60" s="14">
        <v>355570.62667746999</v>
      </c>
      <c r="J60" s="14">
        <v>19976.217455952028</v>
      </c>
      <c r="K60" s="14">
        <v>58073.310149791781</v>
      </c>
      <c r="M60" s="12">
        <f>MAX((Inputs!F$25*POWER(1+(Inputs!$C$3-(Inputs!$C$3*(('Steady State'!$A60-1)/Inputs!$C$4))),'Steady State'!$A60-1)),M59)</f>
        <v>23146.723069621199</v>
      </c>
      <c r="N60" s="12">
        <f>MAX((Inputs!G$25*POWER(1+(Inputs!$C$3-(Inputs!$C$3*(('Steady State'!$A60-1)/Inputs!$C$4))),'Steady State'!$A60-1)),N59)</f>
        <v>9920.0241726947988</v>
      </c>
      <c r="O60" s="12">
        <v>0</v>
      </c>
      <c r="P60" s="12">
        <v>0</v>
      </c>
    </row>
    <row r="61" spans="1:16" x14ac:dyDescent="0.35">
      <c r="A61">
        <v>59</v>
      </c>
      <c r="C61" s="14">
        <f t="shared" si="1"/>
        <v>445194.0153907655</v>
      </c>
      <c r="D61" s="14">
        <f t="shared" si="2"/>
        <v>367067.01465827966</v>
      </c>
      <c r="E61" s="14">
        <f t="shared" si="3"/>
        <v>20068.472292017745</v>
      </c>
      <c r="F61" s="14">
        <f t="shared" si="0"/>
        <v>29242.279819327581</v>
      </c>
      <c r="H61" s="14" cm="1">
        <f t="array" ref="H61:K61">MMULT($C60:$F60,P_Matrix)</f>
        <v>421869.04738891532</v>
      </c>
      <c r="I61" s="14">
        <v>357070.59980034386</v>
      </c>
      <c r="J61" s="14">
        <v>20068.472292017745</v>
      </c>
      <c r="K61" s="14">
        <v>58346.047351464957</v>
      </c>
      <c r="M61" s="12">
        <f>MAX((Inputs!F$25*POWER(1+(Inputs!$C$3-(Inputs!$C$3*(('Steady State'!$A61-1)/Inputs!$C$4))),'Steady State'!$A61-1)),M60)</f>
        <v>23324.968001850186</v>
      </c>
      <c r="N61" s="12">
        <f>MAX((Inputs!G$25*POWER(1+(Inputs!$C$3-(Inputs!$C$3*(('Steady State'!$A61-1)/Inputs!$C$4))),'Steady State'!$A61-1)),N60)</f>
        <v>9996.4148579357952</v>
      </c>
      <c r="O61" s="12">
        <v>0</v>
      </c>
      <c r="P61" s="12">
        <v>0</v>
      </c>
    </row>
    <row r="62" spans="1:16" x14ac:dyDescent="0.35">
      <c r="A62">
        <v>60</v>
      </c>
      <c r="C62" s="14">
        <f t="shared" si="1"/>
        <v>447663.54491761618</v>
      </c>
      <c r="D62" s="14">
        <f t="shared" si="2"/>
        <v>368693.96202257276</v>
      </c>
      <c r="E62" s="14">
        <f t="shared" si="3"/>
        <v>20163.693675701099</v>
      </c>
      <c r="F62" s="14">
        <f t="shared" si="0"/>
        <v>29384.948974475788</v>
      </c>
      <c r="H62" s="14" cm="1">
        <f t="array" ref="H62:K62">MMULT($C61:$F61,P_Matrix)</f>
        <v>424159.89184310415</v>
      </c>
      <c r="I62" s="14">
        <v>358620.9678477819</v>
      </c>
      <c r="J62" s="14">
        <v>20163.693675701099</v>
      </c>
      <c r="K62" s="14">
        <v>58627.22879380337</v>
      </c>
      <c r="M62" s="12">
        <f>MAX((Inputs!F$25*POWER(1+(Inputs!$C$3-(Inputs!$C$3*(('Steady State'!$A62-1)/Inputs!$C$4))),'Steady State'!$A62-1)),M61)</f>
        <v>23503.653074512044</v>
      </c>
      <c r="N62" s="12">
        <f>MAX((Inputs!G$25*POWER(1+(Inputs!$C$3-(Inputs!$C$3*(('Steady State'!$A62-1)/Inputs!$C$4))),'Steady State'!$A62-1)),N61)</f>
        <v>10072.994174790876</v>
      </c>
      <c r="O62" s="12">
        <v>0</v>
      </c>
      <c r="P62" s="12">
        <v>0</v>
      </c>
    </row>
    <row r="63" spans="1:16" x14ac:dyDescent="0.35">
      <c r="A63">
        <v>61</v>
      </c>
      <c r="C63" s="14">
        <f t="shared" si="1"/>
        <v>450189.80861007376</v>
      </c>
      <c r="D63" s="14">
        <f t="shared" si="2"/>
        <v>370370.47696060385</v>
      </c>
      <c r="E63" s="14">
        <f t="shared" si="3"/>
        <v>20261.79127482255</v>
      </c>
      <c r="F63" s="14">
        <f t="shared" si="0"/>
        <v>29531.64862713094</v>
      </c>
      <c r="H63" s="14" cm="1">
        <f t="array" ref="H63:K63">MMULT($C62:$F62,P_Matrix)</f>
        <v>426507.041210355</v>
      </c>
      <c r="I63" s="14">
        <v>360220.71950358152</v>
      </c>
      <c r="J63" s="14">
        <v>20261.79127482255</v>
      </c>
      <c r="K63" s="14">
        <v>58916.597601606729</v>
      </c>
      <c r="M63" s="12">
        <f>MAX((Inputs!F$25*POWER(1+(Inputs!$C$3-(Inputs!$C$3*(('Steady State'!$A63-1)/Inputs!$C$4))),'Steady State'!$A63-1)),M62)</f>
        <v>23682.767399718778</v>
      </c>
      <c r="N63" s="12">
        <f>MAX((Inputs!G$25*POWER(1+(Inputs!$C$3-(Inputs!$C$3*(('Steady State'!$A63-1)/Inputs!$C$4))),'Steady State'!$A63-1)),N62)</f>
        <v>10149.757457022333</v>
      </c>
      <c r="O63" s="12">
        <v>0</v>
      </c>
      <c r="P63" s="12">
        <v>0</v>
      </c>
    </row>
    <row r="64" spans="1:16" x14ac:dyDescent="0.35">
      <c r="A64">
        <v>62</v>
      </c>
      <c r="C64" s="14">
        <f t="shared" si="1"/>
        <v>452770.60394502967</v>
      </c>
      <c r="D64" s="14">
        <f t="shared" si="2"/>
        <v>372095.53882900422</v>
      </c>
      <c r="E64" s="14">
        <f t="shared" si="3"/>
        <v>20362.677620600305</v>
      </c>
      <c r="F64" s="14">
        <f t="shared" si="0"/>
        <v>29682.256385825967</v>
      </c>
      <c r="H64" s="14" cm="1">
        <f t="array" ref="H64:K64">MMULT($C63:$F63,P_Matrix)</f>
        <v>428908.30399055762</v>
      </c>
      <c r="I64" s="14">
        <v>361868.83884851623</v>
      </c>
      <c r="J64" s="14">
        <v>20362.677620600305</v>
      </c>
      <c r="K64" s="14">
        <v>59213.905012956908</v>
      </c>
      <c r="M64" s="12">
        <f>MAX((Inputs!F$25*POWER(1+(Inputs!$C$3-(Inputs!$C$3*(('Steady State'!$A64-1)/Inputs!$C$4))),'Steady State'!$A64-1)),M63)</f>
        <v>23862.299954472033</v>
      </c>
      <c r="N64" s="12">
        <f>MAX((Inputs!G$25*POWER(1+(Inputs!$C$3-(Inputs!$C$3*(('Steady State'!$A64-1)/Inputs!$C$4))),'Steady State'!$A64-1)),N63)</f>
        <v>10226.699980488014</v>
      </c>
      <c r="O64" s="12">
        <v>0</v>
      </c>
      <c r="P64" s="12">
        <v>0</v>
      </c>
    </row>
    <row r="65" spans="1:16" x14ac:dyDescent="0.35">
      <c r="A65">
        <v>63</v>
      </c>
      <c r="C65" s="14">
        <f t="shared" si="1"/>
        <v>455403.83044006303</v>
      </c>
      <c r="D65" s="14">
        <f t="shared" si="2"/>
        <v>373868.12481093535</v>
      </c>
      <c r="E65" s="14">
        <f t="shared" si="3"/>
        <v>20466.268000100521</v>
      </c>
      <c r="F65" s="14">
        <f t="shared" si="0"/>
        <v>29836.653688371087</v>
      </c>
      <c r="H65" s="14" cm="1">
        <f t="array" ref="H65:K65">MMULT($C64:$F64,P_Matrix)</f>
        <v>431361.59085867798</v>
      </c>
      <c r="I65" s="14">
        <v>363564.3078474846</v>
      </c>
      <c r="J65" s="14">
        <v>20466.268000100521</v>
      </c>
      <c r="K65" s="14">
        <v>59518.910074197054</v>
      </c>
      <c r="M65" s="12">
        <f>MAX((Inputs!F$25*POWER(1+(Inputs!$C$3-(Inputs!$C$3*(('Steady State'!$A65-1)/Inputs!$C$4))),'Steady State'!$A65-1)),M64)</f>
        <v>24042.239581385049</v>
      </c>
      <c r="N65" s="12">
        <f>MAX((Inputs!G$25*POWER(1+(Inputs!$C$3-(Inputs!$C$3*(('Steady State'!$A65-1)/Inputs!$C$4))),'Steady State'!$A65-1)),N64)</f>
        <v>10303.816963450736</v>
      </c>
      <c r="O65" s="12">
        <v>0</v>
      </c>
      <c r="P65" s="12">
        <v>0</v>
      </c>
    </row>
    <row r="66" spans="1:16" x14ac:dyDescent="0.35">
      <c r="A66">
        <v>64</v>
      </c>
      <c r="C66" s="14">
        <f t="shared" si="1"/>
        <v>458087.48365121812</v>
      </c>
      <c r="D66" s="14">
        <f t="shared" si="2"/>
        <v>375687.2121460975</v>
      </c>
      <c r="E66" s="14">
        <f t="shared" si="3"/>
        <v>20572.480352570296</v>
      </c>
      <c r="F66" s="14">
        <f t="shared" si="0"/>
        <v>29994.725657555078</v>
      </c>
      <c r="H66" s="14" cm="1">
        <f t="array" ref="H66:K66">MMULT($C65:$F65,P_Matrix)</f>
        <v>433864.90866177867</v>
      </c>
      <c r="I66" s="14">
        <v>365306.10857919487</v>
      </c>
      <c r="J66" s="14">
        <v>20572.480352570296</v>
      </c>
      <c r="K66" s="14">
        <v>59831.379345926165</v>
      </c>
      <c r="M66" s="12">
        <f>MAX((Inputs!F$25*POWER(1+(Inputs!$C$3-(Inputs!$C$3*(('Steady State'!$A66-1)/Inputs!$C$4))),'Steady State'!$A66-1)),M65)</f>
        <v>24222.574989439476</v>
      </c>
      <c r="N66" s="12">
        <f>MAX((Inputs!G$25*POWER(1+(Inputs!$C$3-(Inputs!$C$3*(('Steady State'!$A66-1)/Inputs!$C$4))),'Steady State'!$A66-1)),N65)</f>
        <v>10381.103566902633</v>
      </c>
      <c r="O66" s="12">
        <v>0</v>
      </c>
      <c r="P66" s="12">
        <v>0</v>
      </c>
    </row>
    <row r="67" spans="1:16" x14ac:dyDescent="0.35">
      <c r="A67">
        <v>65</v>
      </c>
      <c r="C67" s="14">
        <f t="shared" si="1"/>
        <v>460819.64954363636</v>
      </c>
      <c r="D67" s="14">
        <f t="shared" si="2"/>
        <v>377551.7801243483</v>
      </c>
      <c r="E67" s="14">
        <f t="shared" si="3"/>
        <v>20681.235169515334</v>
      </c>
      <c r="F67" s="14">
        <f t="shared" ref="F67:F130" si="4">(K67+P67)-F66</f>
        <v>30156.360962062041</v>
      </c>
      <c r="H67" s="14" cm="1">
        <f t="array" ref="H67:K67">MMULT($C66:$F66,P_Matrix)</f>
        <v>436416.35478886304</v>
      </c>
      <c r="I67" s="14">
        <v>367093.22522944544</v>
      </c>
      <c r="J67" s="14">
        <v>20681.235169515334</v>
      </c>
      <c r="K67" s="14">
        <v>60151.086619617119</v>
      </c>
      <c r="M67" s="12">
        <f>MAX((Inputs!F$25*POWER(1+(Inputs!$C$3-(Inputs!$C$3*(('Steady State'!$A67-1)/Inputs!$C$4))),'Steady State'!$A67-1)),M66)</f>
        <v>24403.294754773349</v>
      </c>
      <c r="N67" s="12">
        <f>MAX((Inputs!G$25*POWER(1+(Inputs!$C$3-(Inputs!$C$3*(('Steady State'!$A67-1)/Inputs!$C$4))),'Steady State'!$A67-1)),N66)</f>
        <v>10458.554894902863</v>
      </c>
      <c r="O67" s="12">
        <v>0</v>
      </c>
      <c r="P67" s="12">
        <v>0</v>
      </c>
    </row>
    <row r="68" spans="1:16" x14ac:dyDescent="0.35">
      <c r="A68">
        <v>66</v>
      </c>
      <c r="C68" s="14">
        <f t="shared" ref="C68:C131" si="5">H68+M68</f>
        <v>463598.49921071343</v>
      </c>
      <c r="D68" s="14">
        <f t="shared" ref="D68:D131" si="6">I68+N68</f>
        <v>379460.81186240807</v>
      </c>
      <c r="E68" s="14">
        <f t="shared" ref="E68:E131" si="7">J68+O68</f>
        <v>20792.455398389047</v>
      </c>
      <c r="F68" s="14">
        <f t="shared" si="4"/>
        <v>30321.451682418374</v>
      </c>
      <c r="H68" s="14" cm="1">
        <f t="array" ref="H68:K68">MMULT($C67:$F67,P_Matrix)</f>
        <v>439014.11188921315</v>
      </c>
      <c r="I68" s="14">
        <v>368924.64586747938</v>
      </c>
      <c r="J68" s="14">
        <v>20792.455398389047</v>
      </c>
      <c r="K68" s="14">
        <v>60477.812644480415</v>
      </c>
      <c r="M68" s="12">
        <f>MAX((Inputs!F$25*POWER(1+(Inputs!$C$3-(Inputs!$C$3*(('Steady State'!$A68-1)/Inputs!$C$4))),'Steady State'!$A68-1)),M67)</f>
        <v>24584.3873215003</v>
      </c>
      <c r="N68" s="12">
        <f>MAX((Inputs!G$25*POWER(1+(Inputs!$C$3-(Inputs!$C$3*(('Steady State'!$A68-1)/Inputs!$C$4))),'Steady State'!$A68-1)),N67)</f>
        <v>10536.1659949287</v>
      </c>
      <c r="O68" s="12">
        <v>0</v>
      </c>
      <c r="P68" s="12">
        <v>0</v>
      </c>
    </row>
    <row r="69" spans="1:16" x14ac:dyDescent="0.35">
      <c r="A69">
        <v>67</v>
      </c>
      <c r="C69" s="14">
        <f t="shared" si="5"/>
        <v>466422.28391909861</v>
      </c>
      <c r="D69" s="14">
        <f t="shared" si="6"/>
        <v>381413.29588166351</v>
      </c>
      <c r="E69" s="14">
        <f t="shared" si="7"/>
        <v>20906.066349764646</v>
      </c>
      <c r="F69" s="14">
        <f t="shared" si="4"/>
        <v>30489.893181790911</v>
      </c>
      <c r="H69" s="14" cm="1">
        <f t="array" ref="H69:K69">MMULT($C68:$F68,P_Matrix)</f>
        <v>441656.44291653362</v>
      </c>
      <c r="I69" s="14">
        <v>370799.36402342137</v>
      </c>
      <c r="J69" s="14">
        <v>20906.066349764646</v>
      </c>
      <c r="K69" s="14">
        <v>60811.344864209284</v>
      </c>
      <c r="M69" s="12">
        <f>MAX((Inputs!F$25*POWER(1+(Inputs!$C$3-(Inputs!$C$3*(('Steady State'!$A69-1)/Inputs!$C$4))),'Steady State'!$A69-1)),M68)</f>
        <v>24765.841002565008</v>
      </c>
      <c r="N69" s="12">
        <f>MAX((Inputs!G$25*POWER(1+(Inputs!$C$3-(Inputs!$C$3*(('Steady State'!$A69-1)/Inputs!$C$4))),'Steady State'!$A69-1)),N68)</f>
        <v>10613.931858242146</v>
      </c>
      <c r="O69" s="12">
        <v>0</v>
      </c>
      <c r="P69" s="12">
        <v>0</v>
      </c>
    </row>
    <row r="70" spans="1:16" x14ac:dyDescent="0.35">
      <c r="A70">
        <v>68</v>
      </c>
      <c r="C70" s="14">
        <f t="shared" si="5"/>
        <v>469289.33045837231</v>
      </c>
      <c r="D70" s="14">
        <f t="shared" si="6"/>
        <v>383408.22750371898</v>
      </c>
      <c r="E70" s="14">
        <f t="shared" si="7"/>
        <v>21021.995607866411</v>
      </c>
      <c r="F70" s="14">
        <f t="shared" si="4"/>
        <v>30661.583981464028</v>
      </c>
      <c r="H70" s="14" cm="1">
        <f t="array" ref="H70:K70">MMULT($C69:$F69,P_Matrix)</f>
        <v>444341.68647774577</v>
      </c>
      <c r="I70" s="14">
        <v>372716.38008345047</v>
      </c>
      <c r="J70" s="14">
        <v>21021.995607866411</v>
      </c>
      <c r="K70" s="14">
        <v>61151.477163254938</v>
      </c>
      <c r="M70" s="12">
        <f>MAX((Inputs!F$25*POWER(1+(Inputs!$C$3-(Inputs!$C$3*(('Steady State'!$A70-1)/Inputs!$C$4))),'Steady State'!$A70-1)),M69)</f>
        <v>24947.643980626519</v>
      </c>
      <c r="N70" s="12">
        <f>MAX((Inputs!G$25*POWER(1+(Inputs!$C$3-(Inputs!$C$3*(('Steady State'!$A70-1)/Inputs!$C$4))),'Steady State'!$A70-1)),N69)</f>
        <v>10691.847420268508</v>
      </c>
      <c r="O70" s="12">
        <v>0</v>
      </c>
      <c r="P70" s="12">
        <v>0</v>
      </c>
    </row>
    <row r="71" spans="1:16" x14ac:dyDescent="0.35">
      <c r="A71">
        <v>69</v>
      </c>
      <c r="C71" s="14">
        <f t="shared" si="5"/>
        <v>472198.03677567263</v>
      </c>
      <c r="D71" s="14">
        <f t="shared" si="6"/>
        <v>385444.61007908476</v>
      </c>
      <c r="E71" s="14">
        <f t="shared" si="7"/>
        <v>21140.17294434076</v>
      </c>
      <c r="F71" s="14">
        <f t="shared" si="4"/>
        <v>30836.425640829337</v>
      </c>
      <c r="H71" s="14" cm="1">
        <f t="array" ref="H71:K71">MMULT($C70:$F70,P_Matrix)</f>
        <v>447068.25246669381</v>
      </c>
      <c r="I71" s="14">
        <v>374674.70251809381</v>
      </c>
      <c r="J71" s="14">
        <v>21140.17294434076</v>
      </c>
      <c r="K71" s="14">
        <v>61498.009622293364</v>
      </c>
      <c r="M71" s="12">
        <f>MAX((Inputs!F$25*POWER(1+(Inputs!$C$3-(Inputs!$C$3*(('Steady State'!$A71-1)/Inputs!$C$4))),'Steady State'!$A71-1)),M70)</f>
        <v>25129.784308978844</v>
      </c>
      <c r="N71" s="12">
        <f>MAX((Inputs!G$25*POWER(1+(Inputs!$C$3-(Inputs!$C$3*(('Steady State'!$A71-1)/Inputs!$C$4))),'Steady State'!$A71-1)),N70)</f>
        <v>10769.907560990934</v>
      </c>
      <c r="O71" s="12">
        <v>0</v>
      </c>
      <c r="P71" s="12">
        <v>0</v>
      </c>
    </row>
    <row r="72" spans="1:16" x14ac:dyDescent="0.35">
      <c r="A72">
        <v>70</v>
      </c>
      <c r="C72" s="14">
        <f t="shared" si="5"/>
        <v>475146.86787685752</v>
      </c>
      <c r="D72" s="14">
        <f t="shared" si="6"/>
        <v>387521.45606321836</v>
      </c>
      <c r="E72" s="14">
        <f t="shared" si="7"/>
        <v>21260.530235152029</v>
      </c>
      <c r="F72" s="14">
        <f t="shared" si="4"/>
        <v>31014.322641727915</v>
      </c>
      <c r="H72" s="14" cm="1">
        <f t="array" ref="H72:K72">MMULT($C71:$F71,P_Matrix)</f>
        <v>449834.6179643572</v>
      </c>
      <c r="I72" s="14">
        <v>376673.34895786108</v>
      </c>
      <c r="J72" s="14">
        <v>21260.530235152029</v>
      </c>
      <c r="K72" s="14">
        <v>61850.748282557252</v>
      </c>
      <c r="M72" s="12">
        <f>MAX((Inputs!F$25*POWER(1+(Inputs!$C$3-(Inputs!$C$3*(('Steady State'!$A72-1)/Inputs!$C$4))),'Steady State'!$A72-1)),M71)</f>
        <v>25312.249912500345</v>
      </c>
      <c r="N72" s="12">
        <f>MAX((Inputs!G$25*POWER(1+(Inputs!$C$3-(Inputs!$C$3*(('Steady State'!$A72-1)/Inputs!$C$4))),'Steady State'!$A72-1)),N71)</f>
        <v>10848.107105357292</v>
      </c>
      <c r="O72" s="12">
        <v>0</v>
      </c>
      <c r="P72" s="12">
        <v>0</v>
      </c>
    </row>
    <row r="73" spans="1:16" x14ac:dyDescent="0.35">
      <c r="A73">
        <v>71</v>
      </c>
      <c r="C73" s="14">
        <f t="shared" si="5"/>
        <v>478134.35197703104</v>
      </c>
      <c r="D73" s="14">
        <f t="shared" si="6"/>
        <v>389637.78795305395</v>
      </c>
      <c r="E73" s="14">
        <f t="shared" si="7"/>
        <v>21383.001380491973</v>
      </c>
      <c r="F73" s="14">
        <f t="shared" si="4"/>
        <v>31195.182276990279</v>
      </c>
      <c r="H73" s="14" cm="1">
        <f t="array" ref="H73:K73">MMULT($C72:$F72,P_Matrix)</f>
        <v>452639.32338839344</v>
      </c>
      <c r="I73" s="14">
        <v>378711.34712935216</v>
      </c>
      <c r="J73" s="14">
        <v>21383.001380491973</v>
      </c>
      <c r="K73" s="14">
        <v>62209.504918718194</v>
      </c>
      <c r="M73" s="12">
        <f>MAX((Inputs!F$25*POWER(1+(Inputs!$C$3-(Inputs!$C$3*(('Steady State'!$A73-1)/Inputs!$C$4))),'Steady State'!$A73-1)),M72)</f>
        <v>25495.028588637579</v>
      </c>
      <c r="N73" s="12">
        <f>MAX((Inputs!G$25*POWER(1+(Inputs!$C$3-(Inputs!$C$3*(('Steady State'!$A73-1)/Inputs!$C$4))),'Steady State'!$A73-1)),N72)</f>
        <v>10926.440823701818</v>
      </c>
      <c r="O73" s="12">
        <v>0</v>
      </c>
      <c r="P73" s="12">
        <v>0</v>
      </c>
    </row>
    <row r="74" spans="1:16" x14ac:dyDescent="0.35">
      <c r="A74">
        <v>72</v>
      </c>
      <c r="C74" s="14">
        <f t="shared" si="5"/>
        <v>481159.07688441256</v>
      </c>
      <c r="D74" s="14">
        <f t="shared" si="6"/>
        <v>391792.63909614802</v>
      </c>
      <c r="E74" s="14">
        <f t="shared" si="7"/>
        <v>21507.522227596033</v>
      </c>
      <c r="F74" s="14">
        <f t="shared" si="4"/>
        <v>31378.914543025545</v>
      </c>
      <c r="H74" s="14" cm="1">
        <f t="array" ref="H74:K74">MMULT($C73:$F73,P_Matrix)</f>
        <v>455480.96887598885</v>
      </c>
      <c r="I74" s="14">
        <v>380787.73566396645</v>
      </c>
      <c r="J74" s="14">
        <v>21507.522227596033</v>
      </c>
      <c r="K74" s="14">
        <v>62574.096820015824</v>
      </c>
      <c r="M74" s="12">
        <f>MAX((Inputs!F$25*POWER(1+(Inputs!$C$3-(Inputs!$C$3*(('Steady State'!$A74-1)/Inputs!$C$4))),'Steady State'!$A74-1)),M73)</f>
        <v>25678.108008423678</v>
      </c>
      <c r="N74" s="12">
        <f>MAX((Inputs!G$25*POWER(1+(Inputs!$C$3-(Inputs!$C$3*(('Steady State'!$A74-1)/Inputs!$C$4))),'Steady State'!$A74-1)),N73)</f>
        <v>11004.903432181576</v>
      </c>
      <c r="O74" s="12">
        <v>0</v>
      </c>
      <c r="P74" s="12">
        <v>0</v>
      </c>
    </row>
    <row r="75" spans="1:16" x14ac:dyDescent="0.35">
      <c r="A75">
        <v>73</v>
      </c>
      <c r="C75" s="14">
        <f t="shared" si="5"/>
        <v>484219.68660259311</v>
      </c>
      <c r="D75" s="14">
        <f t="shared" si="6"/>
        <v>393985.05438363337</v>
      </c>
      <c r="E75" s="14">
        <f t="shared" si="7"/>
        <v>21634.030496363226</v>
      </c>
      <c r="F75" s="14">
        <f t="shared" si="4"/>
        <v>31565.432036315826</v>
      </c>
      <c r="H75" s="14" cm="1">
        <f t="array" ref="H75:K75">MMULT($C74:$F74,P_Matrix)</f>
        <v>458358.21088506881</v>
      </c>
      <c r="I75" s="14">
        <v>382901.56479040865</v>
      </c>
      <c r="J75" s="14">
        <v>21634.030496363226</v>
      </c>
      <c r="K75" s="14">
        <v>62944.346579341371</v>
      </c>
      <c r="M75" s="12">
        <f>MAX((Inputs!F$25*POWER(1+(Inputs!$C$3-(Inputs!$C$3*(('Steady State'!$A75-1)/Inputs!$C$4))),'Steady State'!$A75-1)),M74)</f>
        <v>25861.475717524285</v>
      </c>
      <c r="N75" s="12">
        <f>MAX((Inputs!G$25*POWER(1+(Inputs!$C$3-(Inputs!$C$3*(('Steady State'!$A75-1)/Inputs!$C$4))),'Steady State'!$A75-1)),N74)</f>
        <v>11083.489593224693</v>
      </c>
      <c r="O75" s="12">
        <v>0</v>
      </c>
      <c r="P75" s="12">
        <v>0</v>
      </c>
    </row>
    <row r="76" spans="1:16" x14ac:dyDescent="0.35">
      <c r="A76">
        <v>74</v>
      </c>
      <c r="C76" s="14">
        <f t="shared" si="5"/>
        <v>487314.87813723297</v>
      </c>
      <c r="D76" s="14">
        <f t="shared" si="6"/>
        <v>396214.09083731717</v>
      </c>
      <c r="E76" s="14">
        <f t="shared" si="7"/>
        <v>21762.465707680203</v>
      </c>
      <c r="F76" s="14">
        <f t="shared" si="4"/>
        <v>31754.649853677598</v>
      </c>
      <c r="H76" s="14" cm="1">
        <f t="array" ref="H76:K76">MMULT($C75:$F75,P_Matrix)</f>
        <v>461269.75899991015</v>
      </c>
      <c r="I76" s="14">
        <v>385051.89692132169</v>
      </c>
      <c r="J76" s="14">
        <v>21762.465707680203</v>
      </c>
      <c r="K76" s="14">
        <v>63320.081889993424</v>
      </c>
      <c r="M76" s="12">
        <f>MAX((Inputs!F$25*POWER(1+(Inputs!$C$3-(Inputs!$C$3*(('Steady State'!$A76-1)/Inputs!$C$4))),'Steady State'!$A76-1)),M75)</f>
        <v>26045.119137322796</v>
      </c>
      <c r="N76" s="12">
        <f>MAX((Inputs!G$25*POWER(1+(Inputs!$C$3-(Inputs!$C$3*(('Steady State'!$A76-1)/Inputs!$C$4))),'Steady State'!$A76-1)),N75)</f>
        <v>11162.193915995484</v>
      </c>
      <c r="O76" s="12">
        <v>0</v>
      </c>
      <c r="P76" s="12">
        <v>0</v>
      </c>
    </row>
    <row r="77" spans="1:16" x14ac:dyDescent="0.35">
      <c r="A77">
        <v>75</v>
      </c>
      <c r="C77" s="14">
        <f t="shared" si="5"/>
        <v>490443.39849417144</v>
      </c>
      <c r="D77" s="14">
        <f t="shared" si="6"/>
        <v>398478.81810045056</v>
      </c>
      <c r="E77" s="14">
        <f t="shared" si="7"/>
        <v>21892.769114353621</v>
      </c>
      <c r="F77" s="14">
        <f t="shared" si="4"/>
        <v>31946.485496156558</v>
      </c>
      <c r="H77" s="14" cm="1">
        <f t="array" ref="H77:K77">MMULT($C76:$F76,P_Matrix)</f>
        <v>464214.37292814016</v>
      </c>
      <c r="I77" s="14">
        <v>387237.80714357999</v>
      </c>
      <c r="J77" s="14">
        <v>21892.769114353621</v>
      </c>
      <c r="K77" s="14">
        <v>63701.135349834156</v>
      </c>
      <c r="M77" s="12">
        <f>MAX((Inputs!F$25*POWER(1+(Inputs!$C$3-(Inputs!$C$3*(('Steady State'!$A77-1)/Inputs!$C$4))),'Steady State'!$A77-1)),M76)</f>
        <v>26229.025566031309</v>
      </c>
      <c r="N77" s="12">
        <f>MAX((Inputs!G$25*POWER(1+(Inputs!$C$3-(Inputs!$C$3*(('Steady State'!$A77-1)/Inputs!$C$4))),'Steady State'!$A77-1)),N76)</f>
        <v>11241.010956870561</v>
      </c>
      <c r="O77" s="12">
        <v>0</v>
      </c>
      <c r="P77" s="12">
        <v>0</v>
      </c>
    </row>
    <row r="78" spans="1:16" x14ac:dyDescent="0.35">
      <c r="A78">
        <v>76</v>
      </c>
      <c r="C78" s="14">
        <f t="shared" si="5"/>
        <v>493604.0418568009</v>
      </c>
      <c r="D78" s="14">
        <f t="shared" si="6"/>
        <v>400778.31884096051</v>
      </c>
      <c r="E78" s="14">
        <f t="shared" si="7"/>
        <v>22024.883634558391</v>
      </c>
      <c r="F78" s="14">
        <f t="shared" si="4"/>
        <v>32140.858776427063</v>
      </c>
      <c r="H78" s="14" cm="1">
        <f t="array" ref="H78:K78">MMULT($C77:$F77,P_Matrix)</f>
        <v>467190.85967696103</v>
      </c>
      <c r="I78" s="14">
        <v>389458.38362102915</v>
      </c>
      <c r="J78" s="14">
        <v>22024.883634558391</v>
      </c>
      <c r="K78" s="14">
        <v>64087.344272583621</v>
      </c>
      <c r="M78" s="12">
        <f>MAX((Inputs!F$25*POWER(1+(Inputs!$C$3-(Inputs!$C$3*(('Steady State'!$A78-1)/Inputs!$C$4))),'Steady State'!$A78-1)),M77)</f>
        <v>26413.182179839867</v>
      </c>
      <c r="N78" s="12">
        <f>MAX((Inputs!G$25*POWER(1+(Inputs!$C$3-(Inputs!$C$3*(('Steady State'!$A78-1)/Inputs!$C$4))),'Steady State'!$A78-1)),N77)</f>
        <v>11319.935219931371</v>
      </c>
      <c r="O78" s="12">
        <v>0</v>
      </c>
      <c r="P78" s="12">
        <v>0</v>
      </c>
    </row>
    <row r="79" spans="1:16" x14ac:dyDescent="0.35">
      <c r="A79">
        <v>77</v>
      </c>
      <c r="C79" s="14">
        <f t="shared" si="5"/>
        <v>496795.64693135448</v>
      </c>
      <c r="D79" s="14">
        <f t="shared" si="6"/>
        <v>403111.68907524616</v>
      </c>
      <c r="E79" s="14">
        <f t="shared" si="7"/>
        <v>22158.753787712649</v>
      </c>
      <c r="F79" s="14">
        <f t="shared" si="4"/>
        <v>32337.691729572442</v>
      </c>
      <c r="H79" s="14" cm="1">
        <f t="array" ref="H79:K79">MMULT($C78:$F78,P_Matrix)</f>
        <v>470198.07089725829</v>
      </c>
      <c r="I79" s="14">
        <v>391712.72791777638</v>
      </c>
      <c r="J79" s="14">
        <v>22158.753787712649</v>
      </c>
      <c r="K79" s="14">
        <v>64478.550505999505</v>
      </c>
      <c r="M79" s="12">
        <f>MAX((Inputs!F$25*POWER(1+(Inputs!$C$3-(Inputs!$C$3*(('Steady State'!$A79-1)/Inputs!$C$4))),'Steady State'!$A79-1)),M78)</f>
        <v>26597.576034096186</v>
      </c>
      <c r="N79" s="12">
        <f>MAX((Inputs!G$25*POWER(1+(Inputs!$C$3-(Inputs!$C$3*(('Steady State'!$A79-1)/Inputs!$C$4))),'Steady State'!$A79-1)),N78)</f>
        <v>11398.961157469794</v>
      </c>
      <c r="O79" s="12">
        <v>0</v>
      </c>
      <c r="P79" s="12">
        <v>0</v>
      </c>
    </row>
    <row r="80" spans="1:16" x14ac:dyDescent="0.35">
      <c r="A80">
        <v>78</v>
      </c>
      <c r="C80" s="14">
        <f t="shared" si="5"/>
        <v>500017.09444951284</v>
      </c>
      <c r="D80" s="14">
        <f t="shared" si="6"/>
        <v>405478.03842000331</v>
      </c>
      <c r="E80" s="14">
        <f t="shared" si="7"/>
        <v>22294.325632693595</v>
      </c>
      <c r="F80" s="14">
        <f t="shared" si="4"/>
        <v>32536.908527126179</v>
      </c>
      <c r="H80" s="14" cm="1">
        <f t="array" ref="H80:K80">MMULT($C79:$F79,P_Matrix)</f>
        <v>473234.9003849969</v>
      </c>
      <c r="I80" s="14">
        <v>393999.9552494965</v>
      </c>
      <c r="J80" s="14">
        <v>22294.325632693595</v>
      </c>
      <c r="K80" s="14">
        <v>64874.600256698621</v>
      </c>
      <c r="M80" s="12">
        <f>MAX((Inputs!F$25*POWER(1+(Inputs!$C$3-(Inputs!$C$3*(('Steady State'!$A80-1)/Inputs!$C$4))),'Steady State'!$A80-1)),M79)</f>
        <v>26782.194064515952</v>
      </c>
      <c r="N80" s="12">
        <f>MAX((Inputs!G$25*POWER(1+(Inputs!$C$3-(Inputs!$C$3*(('Steady State'!$A80-1)/Inputs!$C$4))),'Steady State'!$A80-1)),N79)</f>
        <v>11478.083170506836</v>
      </c>
      <c r="O80" s="12">
        <v>0</v>
      </c>
      <c r="P80" s="12">
        <v>0</v>
      </c>
    </row>
    <row r="81" spans="1:16" x14ac:dyDescent="0.35">
      <c r="A81">
        <v>79</v>
      </c>
      <c r="C81" s="14">
        <f t="shared" si="5"/>
        <v>503267.3048184411</v>
      </c>
      <c r="D81" s="14">
        <f t="shared" si="6"/>
        <v>407876.49027895514</v>
      </c>
      <c r="E81" s="14">
        <f t="shared" si="7"/>
        <v>22431.546708311318</v>
      </c>
      <c r="F81" s="14">
        <f t="shared" si="4"/>
        <v>32738.435394258886</v>
      </c>
      <c r="H81" s="14" cm="1">
        <f t="array" ref="H81:K81">MMULT($C80:$F80,P_Matrix)</f>
        <v>476300.2817300114</v>
      </c>
      <c r="I81" s="14">
        <v>396319.19466962811</v>
      </c>
      <c r="J81" s="14">
        <v>22431.546708311318</v>
      </c>
      <c r="K81" s="14">
        <v>65275.343921385065</v>
      </c>
      <c r="M81" s="12">
        <f>MAX((Inputs!F$25*POWER(1+(Inputs!$C$3-(Inputs!$C$3*(('Steady State'!$A81-1)/Inputs!$C$4))),'Steady State'!$A81-1)),M80)</f>
        <v>26967.023088429723</v>
      </c>
      <c r="N81" s="12">
        <f>MAX((Inputs!G$25*POWER(1+(Inputs!$C$3-(Inputs!$C$3*(('Steady State'!$A81-1)/Inputs!$C$4))),'Steady State'!$A81-1)),N80)</f>
        <v>11557.295609327024</v>
      </c>
      <c r="O81" s="12">
        <v>0</v>
      </c>
      <c r="P81" s="12">
        <v>0</v>
      </c>
    </row>
    <row r="82" spans="1:16" x14ac:dyDescent="0.35">
      <c r="A82">
        <v>80</v>
      </c>
      <c r="C82" s="14">
        <f t="shared" si="5"/>
        <v>506545.23590901284</v>
      </c>
      <c r="D82" s="14">
        <f t="shared" si="6"/>
        <v>410306.18197081645</v>
      </c>
      <c r="E82" s="14">
        <f t="shared" si="7"/>
        <v>22570.365975960754</v>
      </c>
      <c r="F82" s="14">
        <f t="shared" si="4"/>
        <v>32942.200529999704</v>
      </c>
      <c r="H82" s="14" cm="1">
        <f t="array" ref="H82:K82">MMULT($C81:$F81,P_Matrix)</f>
        <v>479393.18610295525</v>
      </c>
      <c r="I82" s="14">
        <v>398669.58919679176</v>
      </c>
      <c r="J82" s="14">
        <v>22570.365975960754</v>
      </c>
      <c r="K82" s="14">
        <v>65680.63592425859</v>
      </c>
      <c r="M82" s="12">
        <f>MAX((Inputs!F$25*POWER(1+(Inputs!$C$3-(Inputs!$C$3*(('Steady State'!$A82-1)/Inputs!$C$4))),'Steady State'!$A82-1)),M81)</f>
        <v>27152.049806057577</v>
      </c>
      <c r="N82" s="12">
        <f>MAX((Inputs!G$25*POWER(1+(Inputs!$C$3-(Inputs!$C$3*(('Steady State'!$A82-1)/Inputs!$C$4))),'Steady State'!$A82-1)),N81)</f>
        <v>11636.592774024677</v>
      </c>
      <c r="O82" s="12">
        <v>0</v>
      </c>
      <c r="P82" s="12">
        <v>0</v>
      </c>
    </row>
    <row r="83" spans="1:16" x14ac:dyDescent="0.35">
      <c r="A83">
        <v>81</v>
      </c>
      <c r="C83" s="14">
        <f t="shared" si="5"/>
        <v>509849.8809735956</v>
      </c>
      <c r="D83" s="14">
        <f t="shared" si="6"/>
        <v>412766.26480431936</v>
      </c>
      <c r="E83" s="14">
        <f t="shared" si="7"/>
        <v>22710.733764374745</v>
      </c>
      <c r="F83" s="14">
        <f t="shared" si="4"/>
        <v>33148.134030385067</v>
      </c>
      <c r="H83" s="14" cm="1">
        <f t="array" ref="H83:K83">MMULT($C82:$F82,P_Matrix)</f>
        <v>482512.62017177627</v>
      </c>
      <c r="I83" s="14">
        <v>401050.2958892539</v>
      </c>
      <c r="J83" s="14">
        <v>22710.733764374745</v>
      </c>
      <c r="K83" s="14">
        <v>66090.33456038477</v>
      </c>
      <c r="M83" s="12">
        <f>MAX((Inputs!F$25*POWER(1+(Inputs!$C$3-(Inputs!$C$3*(('Steady State'!$A83-1)/Inputs!$C$4))),'Steady State'!$A83-1)),M82)</f>
        <v>27337.260801819346</v>
      </c>
      <c r="N83" s="12">
        <f>MAX((Inputs!G$25*POWER(1+(Inputs!$C$3-(Inputs!$C$3*(('Steady State'!$A83-1)/Inputs!$C$4))),'Steady State'!$A83-1)),N82)</f>
        <v>11715.968915065434</v>
      </c>
      <c r="O83" s="12">
        <v>0</v>
      </c>
      <c r="P83" s="12">
        <v>0</v>
      </c>
    </row>
    <row r="84" spans="1:16" x14ac:dyDescent="0.35">
      <c r="A84">
        <v>82</v>
      </c>
      <c r="C84" s="14">
        <f t="shared" si="5"/>
        <v>513180.2666853384</v>
      </c>
      <c r="D84" s="14">
        <f t="shared" si="6"/>
        <v>415255.90410565602</v>
      </c>
      <c r="E84" s="14">
        <f t="shared" si="7"/>
        <v>22852.601716403995</v>
      </c>
      <c r="F84" s="14">
        <f t="shared" si="4"/>
        <v>33356.167814431123</v>
      </c>
      <c r="H84" s="14" cm="1">
        <f t="array" ref="H84:K84">MMULT($C83:$F83,P_Matrix)</f>
        <v>485657.6241396605</v>
      </c>
      <c r="I84" s="14">
        <v>403460.48587179405</v>
      </c>
      <c r="J84" s="14">
        <v>22852.601716403995</v>
      </c>
      <c r="K84" s="14">
        <v>66504.301844816189</v>
      </c>
      <c r="M84" s="12">
        <f>MAX((Inputs!F$25*POWER(1+(Inputs!$C$3-(Inputs!$C$3*(('Steady State'!$A84-1)/Inputs!$C$4))),'Steady State'!$A84-1)),M83)</f>
        <v>27522.642545677922</v>
      </c>
      <c r="N84" s="12">
        <f>MAX((Inputs!G$25*POWER(1+(Inputs!$C$3-(Inputs!$C$3*(('Steady State'!$A84-1)/Inputs!$C$4))),'Steady State'!$A84-1)),N83)</f>
        <v>11795.418233861967</v>
      </c>
      <c r="O84" s="12">
        <v>0</v>
      </c>
      <c r="P84" s="12">
        <v>0</v>
      </c>
    </row>
    <row r="85" spans="1:16" x14ac:dyDescent="0.35">
      <c r="A85">
        <v>83</v>
      </c>
      <c r="C85" s="14">
        <f t="shared" si="5"/>
        <v>516535.45129142422</v>
      </c>
      <c r="D85" s="14">
        <f t="shared" si="6"/>
        <v>417774.27920326131</v>
      </c>
      <c r="E85" s="14">
        <f t="shared" si="7"/>
        <v>22995.922737752342</v>
      </c>
      <c r="F85" s="14">
        <f t="shared" si="4"/>
        <v>33566.235552830833</v>
      </c>
      <c r="H85" s="14" cm="1">
        <f t="array" ref="H85:K85">MMULT($C84:$F84,P_Matrix)</f>
        <v>488827.26989691501</v>
      </c>
      <c r="I85" s="14">
        <v>405899.34431990021</v>
      </c>
      <c r="J85" s="14">
        <v>22995.922737752342</v>
      </c>
      <c r="K85" s="14">
        <v>66922.403367261955</v>
      </c>
      <c r="M85" s="12">
        <f>MAX((Inputs!F$25*POWER(1+(Inputs!$C$3-(Inputs!$C$3*(('Steady State'!$A85-1)/Inputs!$C$4))),'Steady State'!$A85-1)),M84)</f>
        <v>27708.181394509185</v>
      </c>
      <c r="N85" s="12">
        <f>MAX((Inputs!G$25*POWER(1+(Inputs!$C$3-(Inputs!$C$3*(('Steady State'!$A85-1)/Inputs!$C$4))),'Steady State'!$A85-1)),N84)</f>
        <v>11874.93488336108</v>
      </c>
      <c r="O85" s="12">
        <v>0</v>
      </c>
      <c r="P85" s="12">
        <v>0</v>
      </c>
    </row>
    <row r="86" spans="1:16" x14ac:dyDescent="0.35">
      <c r="A86">
        <v>84</v>
      </c>
      <c r="C86" s="14">
        <f t="shared" si="5"/>
        <v>519914.52287325845</v>
      </c>
      <c r="D86" s="14">
        <f t="shared" si="6"/>
        <v>420320.58337446227</v>
      </c>
      <c r="E86" s="14">
        <f t="shared" si="7"/>
        <v>23140.65094759826</v>
      </c>
      <c r="F86" s="14">
        <f t="shared" si="4"/>
        <v>33778.272599278651</v>
      </c>
      <c r="H86" s="14" cm="1">
        <f t="array" ref="H86:K86">MMULT($C85:$F85,P_Matrix)</f>
        <v>492020.65927974659</v>
      </c>
      <c r="I86" s="14">
        <v>408366.07040581433</v>
      </c>
      <c r="J86" s="14">
        <v>23140.65094759826</v>
      </c>
      <c r="K86" s="14">
        <v>67344.508152109483</v>
      </c>
      <c r="M86" s="12">
        <f>MAX((Inputs!F$25*POWER(1+(Inputs!$C$3-(Inputs!$C$3*(('Steady State'!$A86-1)/Inputs!$C$4))),'Steady State'!$A86-1)),M85)</f>
        <v>27893.863593511858</v>
      </c>
      <c r="N86" s="12">
        <f>MAX((Inputs!G$25*POWER(1+(Inputs!$C$3-(Inputs!$C$3*(('Steady State'!$A86-1)/Inputs!$C$4))),'Steady State'!$A86-1)),N85)</f>
        <v>11954.512968647939</v>
      </c>
      <c r="O86" s="12">
        <v>0</v>
      </c>
      <c r="P86" s="12">
        <v>0</v>
      </c>
    </row>
    <row r="87" spans="1:16" x14ac:dyDescent="0.35">
      <c r="A87">
        <v>85</v>
      </c>
      <c r="C87" s="14">
        <f t="shared" si="5"/>
        <v>523316.59770700854</v>
      </c>
      <c r="D87" s="14">
        <f t="shared" si="6"/>
        <v>422894.0237581447</v>
      </c>
      <c r="E87" s="14">
        <f t="shared" si="7"/>
        <v>23286.741631036162</v>
      </c>
      <c r="F87" s="14">
        <f t="shared" si="4"/>
        <v>33992.215924331198</v>
      </c>
      <c r="H87" s="14" cm="1">
        <f t="array" ref="H87:K87">MMULT($C86:$F86,P_Matrix)</f>
        <v>495236.92242936732</v>
      </c>
      <c r="I87" s="14">
        <v>410859.87721058418</v>
      </c>
      <c r="J87" s="14">
        <v>23286.741631036162</v>
      </c>
      <c r="K87" s="14">
        <v>67770.488523609849</v>
      </c>
      <c r="M87" s="12">
        <f>MAX((Inputs!F$25*POWER(1+(Inputs!$C$3-(Inputs!$C$3*(('Steady State'!$A87-1)/Inputs!$C$4))),'Steady State'!$A87-1)),M86)</f>
        <v>28079.675277641232</v>
      </c>
      <c r="N87" s="12">
        <f>MAX((Inputs!G$25*POWER(1+(Inputs!$C$3-(Inputs!$C$3*(('Steady State'!$A87-1)/Inputs!$C$4))),'Steady State'!$A87-1)),N86)</f>
        <v>12034.146547560529</v>
      </c>
      <c r="O87" s="12">
        <v>0</v>
      </c>
      <c r="P87" s="12">
        <v>0</v>
      </c>
    </row>
    <row r="88" spans="1:16" x14ac:dyDescent="0.35">
      <c r="A88">
        <v>86</v>
      </c>
      <c r="C88" s="14">
        <f t="shared" si="5"/>
        <v>526740.81871835364</v>
      </c>
      <c r="D88" s="14">
        <f t="shared" si="6"/>
        <v>425493.82123724959</v>
      </c>
      <c r="E88" s="14">
        <f t="shared" si="7"/>
        <v>23434.151193273232</v>
      </c>
      <c r="F88" s="14">
        <f t="shared" si="4"/>
        <v>34208.004051713644</v>
      </c>
      <c r="H88" s="14" cm="1">
        <f t="array" ref="H88:K88">MMULT($C87:$F87,P_Matrix)</f>
        <v>498475.21624527307</v>
      </c>
      <c r="I88" s="14">
        <v>413379.99160592939</v>
      </c>
      <c r="J88" s="14">
        <v>23434.151193273232</v>
      </c>
      <c r="K88" s="14">
        <v>68200.219976044842</v>
      </c>
      <c r="M88" s="12">
        <f>MAX((Inputs!F$25*POWER(1+(Inputs!$C$3-(Inputs!$C$3*(('Steady State'!$A88-1)/Inputs!$C$4))),'Steady State'!$A88-1)),M87)</f>
        <v>28265.602473080522</v>
      </c>
      <c r="N88" s="12">
        <f>MAX((Inputs!G$25*POWER(1+(Inputs!$C$3-(Inputs!$C$3*(('Steady State'!$A88-1)/Inputs!$C$4))),'Steady State'!$A88-1)),N87)</f>
        <v>12113.829631320225</v>
      </c>
      <c r="O88" s="12">
        <v>0</v>
      </c>
      <c r="P88" s="12">
        <v>0</v>
      </c>
    </row>
    <row r="89" spans="1:16" x14ac:dyDescent="0.35">
      <c r="A89">
        <v>87</v>
      </c>
      <c r="C89" s="14">
        <f t="shared" si="5"/>
        <v>530186.35402569536</v>
      </c>
      <c r="D89" s="14">
        <f t="shared" si="6"/>
        <v>428119.21029459347</v>
      </c>
      <c r="E89" s="14">
        <f t="shared" si="7"/>
        <v>23582.837115519971</v>
      </c>
      <c r="F89" s="14">
        <f t="shared" si="4"/>
        <v>34425.576996986412</v>
      </c>
      <c r="H89" s="14" cm="1">
        <f t="array" ref="H89:K89">MMULT($C88:$F88,P_Matrix)</f>
        <v>501734.72292695218</v>
      </c>
      <c r="I89" s="14">
        <v>415925.65410941781</v>
      </c>
      <c r="J89" s="14">
        <v>23582.837115519971</v>
      </c>
      <c r="K89" s="14">
        <v>68633.581048700056</v>
      </c>
      <c r="M89" s="12">
        <f>MAX((Inputs!F$25*POWER(1+(Inputs!$C$3-(Inputs!$C$3*(('Steady State'!$A89-1)/Inputs!$C$4))),'Steady State'!$A89-1)),M88)</f>
        <v>28451.631098743226</v>
      </c>
      <c r="N89" s="12">
        <f>MAX((Inputs!G$25*POWER(1+(Inputs!$C$3-(Inputs!$C$3*(('Steady State'!$A89-1)/Inputs!$C$4))),'Steady State'!$A89-1)),N88)</f>
        <v>12193.556185175668</v>
      </c>
      <c r="O89" s="12">
        <v>0</v>
      </c>
      <c r="P89" s="12">
        <v>0</v>
      </c>
    </row>
    <row r="90" spans="1:16" x14ac:dyDescent="0.35">
      <c r="A90">
        <v>88</v>
      </c>
      <c r="C90" s="14">
        <f t="shared" si="5"/>
        <v>533652.39556645323</v>
      </c>
      <c r="D90" s="14">
        <f t="shared" si="6"/>
        <v>430769.43884521158</v>
      </c>
      <c r="E90" s="14">
        <f t="shared" si="7"/>
        <v>23732.75791251487</v>
      </c>
      <c r="F90" s="14">
        <f t="shared" si="4"/>
        <v>34644.876208488648</v>
      </c>
      <c r="H90" s="14" cm="1">
        <f t="array" ref="H90:K90">MMULT($C89:$F89,P_Matrix)</f>
        <v>505014.64859865152</v>
      </c>
      <c r="I90" s="14">
        <v>418496.11871615372</v>
      </c>
      <c r="J90" s="14">
        <v>23732.75791251487</v>
      </c>
      <c r="K90" s="14">
        <v>69070.45320547506</v>
      </c>
      <c r="M90" s="12">
        <f>MAX((Inputs!F$25*POWER(1+(Inputs!$C$3-(Inputs!$C$3*(('Steady State'!$A90-1)/Inputs!$C$4))),'Steady State'!$A90-1)),M89)</f>
        <v>28637.74696780173</v>
      </c>
      <c r="N90" s="12">
        <f>MAX((Inputs!G$25*POWER(1+(Inputs!$C$3-(Inputs!$C$3*(('Steady State'!$A90-1)/Inputs!$C$4))),'Steady State'!$A90-1)),N89)</f>
        <v>12273.320129057884</v>
      </c>
      <c r="O90" s="12">
        <v>0</v>
      </c>
      <c r="P90" s="12">
        <v>0</v>
      </c>
    </row>
    <row r="91" spans="1:16" x14ac:dyDescent="0.35">
      <c r="A91">
        <v>89</v>
      </c>
      <c r="C91" s="14">
        <f t="shared" si="5"/>
        <v>537138.15780142555</v>
      </c>
      <c r="D91" s="14">
        <f t="shared" si="6"/>
        <v>433443.76804815838</v>
      </c>
      <c r="E91" s="14">
        <f t="shared" si="7"/>
        <v>23883.87309162557</v>
      </c>
      <c r="F91" s="14">
        <f t="shared" si="4"/>
        <v>34865.844510478659</v>
      </c>
      <c r="H91" s="14" cm="1">
        <f t="array" ref="H91:K91">MMULT($C90:$F90,P_Matrix)</f>
        <v>508314.2220121696</v>
      </c>
      <c r="I91" s="14">
        <v>421090.65270990581</v>
      </c>
      <c r="J91" s="14">
        <v>23883.87309162557</v>
      </c>
      <c r="K91" s="14">
        <v>69510.720718967306</v>
      </c>
      <c r="M91" s="12">
        <f>MAX((Inputs!F$25*POWER(1+(Inputs!$C$3-(Inputs!$C$3*(('Steady State'!$A91-1)/Inputs!$C$4))),'Steady State'!$A91-1)),M90)</f>
        <v>28823.935789256004</v>
      </c>
      <c r="N91" s="12">
        <f>MAX((Inputs!G$25*POWER(1+(Inputs!$C$3-(Inputs!$C$3*(('Steady State'!$A91-1)/Inputs!$C$4))),'Steady State'!$A91-1)),N90)</f>
        <v>12353.115338252572</v>
      </c>
      <c r="O91" s="12">
        <v>0</v>
      </c>
      <c r="P91" s="12">
        <v>0</v>
      </c>
    </row>
    <row r="92" spans="1:16" x14ac:dyDescent="0.35">
      <c r="A92">
        <v>90</v>
      </c>
      <c r="C92" s="14">
        <f t="shared" si="5"/>
        <v>540642.87649250799</v>
      </c>
      <c r="D92" s="14">
        <f t="shared" si="6"/>
        <v>436141.47210044193</v>
      </c>
      <c r="E92" s="14">
        <f t="shared" si="7"/>
        <v>24036.143113471182</v>
      </c>
      <c r="F92" s="14">
        <f t="shared" si="4"/>
        <v>35088.426048393907</v>
      </c>
      <c r="H92" s="14" cm="1">
        <f t="array" ref="H92:K92">MMULT($C91:$F91,P_Matrix)</f>
        <v>511632.69332298409</v>
      </c>
      <c r="I92" s="14">
        <v>423708.53645636025</v>
      </c>
      <c r="J92" s="14">
        <v>24036.143113471182</v>
      </c>
      <c r="K92" s="14">
        <v>69954.270558872566</v>
      </c>
      <c r="M92" s="12">
        <f>MAX((Inputs!F$25*POWER(1+(Inputs!$C$3-(Inputs!$C$3*(('Steady State'!$A92-1)/Inputs!$C$4))),'Steady State'!$A92-1)),M91)</f>
        <v>29010.183169523862</v>
      </c>
      <c r="N92" s="12">
        <f>MAX((Inputs!G$25*POWER(1+(Inputs!$C$3-(Inputs!$C$3*(('Steady State'!$A92-1)/Inputs!$C$4))),'Steady State'!$A92-1)),N91)</f>
        <v>12432.935644081655</v>
      </c>
      <c r="O92" s="12">
        <v>0</v>
      </c>
      <c r="P92" s="12">
        <v>0</v>
      </c>
    </row>
    <row r="93" spans="1:16" x14ac:dyDescent="0.35">
      <c r="A93">
        <v>91</v>
      </c>
      <c r="C93" s="14">
        <f t="shared" si="5"/>
        <v>544165.80754938</v>
      </c>
      <c r="D93" s="14">
        <f t="shared" si="6"/>
        <v>438861.83801554539</v>
      </c>
      <c r="E93" s="14">
        <f t="shared" si="7"/>
        <v>24189.529354012207</v>
      </c>
      <c r="F93" s="14">
        <f t="shared" si="4"/>
        <v>35312.566236156294</v>
      </c>
      <c r="H93" s="14" cm="1">
        <f t="array" ref="H93:K93">MMULT($C92:$F92,P_Matrix)</f>
        <v>514969.33293530904</v>
      </c>
      <c r="I93" s="14">
        <v>426349.06318094354</v>
      </c>
      <c r="J93" s="14">
        <v>24189.529354012207</v>
      </c>
      <c r="K93" s="14">
        <v>70400.992284550201</v>
      </c>
      <c r="M93" s="12">
        <f>MAX((Inputs!F$25*POWER(1+(Inputs!$C$3-(Inputs!$C$3*(('Steady State'!$A93-1)/Inputs!$C$4))),'Steady State'!$A93-1)),M92)</f>
        <v>29196.474614070939</v>
      </c>
      <c r="N93" s="12">
        <f>MAX((Inputs!G$25*POWER(1+(Inputs!$C$3-(Inputs!$C$3*(('Steady State'!$A93-1)/Inputs!$C$4))),'Steady State'!$A93-1)),N92)</f>
        <v>12512.774834601831</v>
      </c>
      <c r="O93" s="12">
        <v>0</v>
      </c>
      <c r="P93" s="12">
        <v>0</v>
      </c>
    </row>
    <row r="94" spans="1:16" x14ac:dyDescent="0.35">
      <c r="A94">
        <v>92</v>
      </c>
      <c r="C94" s="14">
        <f t="shared" si="5"/>
        <v>547706.22594103869</v>
      </c>
      <c r="D94" s="14">
        <f t="shared" si="6"/>
        <v>441604.16538876982</v>
      </c>
      <c r="E94" s="14">
        <f t="shared" si="7"/>
        <v>24343.994068056578</v>
      </c>
      <c r="F94" s="14">
        <f t="shared" si="4"/>
        <v>35538.21170545082</v>
      </c>
      <c r="H94" s="14" cm="1">
        <f t="array" ref="H94:K94">MMULT($C93:$F93,P_Matrix)</f>
        <v>518323.43041197385</v>
      </c>
      <c r="I94" s="14">
        <v>429011.53873345628</v>
      </c>
      <c r="J94" s="14">
        <v>24343.994068056578</v>
      </c>
      <c r="K94" s="14">
        <v>70850.777941607113</v>
      </c>
      <c r="M94" s="12">
        <f>MAX((Inputs!F$25*POWER(1+(Inputs!$C$3-(Inputs!$C$3*(('Steady State'!$A94-1)/Inputs!$C$4))),'Steady State'!$A94-1)),M93)</f>
        <v>29382.795529064872</v>
      </c>
      <c r="N94" s="12">
        <f>MAX((Inputs!G$25*POWER(1+(Inputs!$C$3-(Inputs!$C$3*(('Steady State'!$A94-1)/Inputs!$C$4))),'Steady State'!$A94-1)),N93)</f>
        <v>12592.626655313516</v>
      </c>
      <c r="O94" s="12">
        <v>0</v>
      </c>
      <c r="P94" s="12">
        <v>0</v>
      </c>
    </row>
    <row r="95" spans="1:16" x14ac:dyDescent="0.35">
      <c r="A95">
        <v>93</v>
      </c>
      <c r="C95" s="14">
        <f t="shared" si="5"/>
        <v>551263.42466833314</v>
      </c>
      <c r="D95" s="14">
        <f t="shared" si="6"/>
        <v>444367.76615143922</v>
      </c>
      <c r="E95" s="14">
        <f t="shared" si="7"/>
        <v>24499.500354132033</v>
      </c>
      <c r="F95" s="14">
        <f t="shared" si="4"/>
        <v>35765.310256908408</v>
      </c>
      <c r="H95" s="14" cm="1">
        <f t="array" ref="H95:K95">MMULT($C94:$F94,P_Matrix)</f>
        <v>521694.29344526969</v>
      </c>
      <c r="I95" s="14">
        <v>431695.28134155489</v>
      </c>
      <c r="J95" s="14">
        <v>24499.500354132033</v>
      </c>
      <c r="K95" s="14">
        <v>71303.521962359227</v>
      </c>
      <c r="M95" s="12">
        <f>MAX((Inputs!F$25*POWER(1+(Inputs!$C$3-(Inputs!$C$3*(('Steady State'!$A95-1)/Inputs!$C$4))),'Steady State'!$A95-1)),M94)</f>
        <v>29569.131223063479</v>
      </c>
      <c r="N95" s="12">
        <f>MAX((Inputs!G$25*POWER(1+(Inputs!$C$3-(Inputs!$C$3*(('Steady State'!$A95-1)/Inputs!$C$4))),'Steady State'!$A95-1)),N94)</f>
        <v>12672.484809884349</v>
      </c>
      <c r="O95" s="12">
        <v>0</v>
      </c>
      <c r="P95" s="12">
        <v>0</v>
      </c>
    </row>
    <row r="96" spans="1:16" x14ac:dyDescent="0.35">
      <c r="A96">
        <v>94</v>
      </c>
      <c r="C96" s="14">
        <f t="shared" si="5"/>
        <v>554836.71379389556</v>
      </c>
      <c r="D96" s="14">
        <f t="shared" si="6"/>
        <v>447151.96431582683</v>
      </c>
      <c r="E96" s="14">
        <f t="shared" si="7"/>
        <v>24656.012120676944</v>
      </c>
      <c r="F96" s="14">
        <f t="shared" si="4"/>
        <v>35993.810813126191</v>
      </c>
      <c r="H96" s="14" cm="1">
        <f t="array" ref="H96:K96">MMULT($C95:$F95,P_Matrix)</f>
        <v>525081.24688516068</v>
      </c>
      <c r="I96" s="14">
        <v>434399.62135494046</v>
      </c>
      <c r="J96" s="14">
        <v>24656.012120676944</v>
      </c>
      <c r="K96" s="14">
        <v>71759.121070034598</v>
      </c>
      <c r="M96" s="12">
        <f>MAX((Inputs!F$25*POWER(1+(Inputs!$C$3-(Inputs!$C$3*(('Steady State'!$A96-1)/Inputs!$C$4))),'Steady State'!$A96-1)),M95)</f>
        <v>29755.466908734827</v>
      </c>
      <c r="N96" s="12">
        <f>MAX((Inputs!G$25*POWER(1+(Inputs!$C$3-(Inputs!$C$3*(('Steady State'!$A96-1)/Inputs!$C$4))),'Steady State'!$A96-1)),N95)</f>
        <v>12752.342960886353</v>
      </c>
      <c r="O96" s="12">
        <v>0</v>
      </c>
      <c r="P96" s="12">
        <v>0</v>
      </c>
    </row>
    <row r="97" spans="1:16" x14ac:dyDescent="0.35">
      <c r="A97">
        <v>95</v>
      </c>
      <c r="C97" s="14">
        <f t="shared" si="5"/>
        <v>558425.41952608852</v>
      </c>
      <c r="D97" s="14">
        <f t="shared" si="6"/>
        <v>449956.09571249038</v>
      </c>
      <c r="E97" s="14">
        <f t="shared" si="7"/>
        <v>24813.494053503389</v>
      </c>
      <c r="F97" s="14">
        <f t="shared" si="4"/>
        <v>36223.663373460899</v>
      </c>
      <c r="H97" s="14" cm="1">
        <f t="array" ref="H97:K97">MMULT($C96:$F96,P_Matrix)</f>
        <v>528483.63182148768</v>
      </c>
      <c r="I97" s="14">
        <v>437123.9009819472</v>
      </c>
      <c r="J97" s="14">
        <v>24813.494053503389</v>
      </c>
      <c r="K97" s="14">
        <v>72217.474186587089</v>
      </c>
      <c r="M97" s="12">
        <f>MAX((Inputs!F$25*POWER(1+(Inputs!$C$3-(Inputs!$C$3*(('Steady State'!$A97-1)/Inputs!$C$4))),'Steady State'!$A97-1)),M96)</f>
        <v>29941.787704600792</v>
      </c>
      <c r="N97" s="12">
        <f>MAX((Inputs!G$25*POWER(1+(Inputs!$C$3-(Inputs!$C$3*(('Steady State'!$A97-1)/Inputs!$C$4))),'Steady State'!$A97-1)),N96)</f>
        <v>12832.194730543197</v>
      </c>
      <c r="O97" s="12">
        <v>0</v>
      </c>
      <c r="P97" s="12">
        <v>0</v>
      </c>
    </row>
    <row r="98" spans="1:16" x14ac:dyDescent="0.35">
      <c r="A98">
        <v>96</v>
      </c>
      <c r="C98" s="14">
        <f t="shared" si="5"/>
        <v>562028.88335381879</v>
      </c>
      <c r="D98" s="14">
        <f t="shared" si="6"/>
        <v>452779.50772155717</v>
      </c>
      <c r="E98" s="14">
        <f t="shared" si="7"/>
        <v>24971.911584487822</v>
      </c>
      <c r="F98" s="14">
        <f t="shared" si="4"/>
        <v>36454.818970533212</v>
      </c>
      <c r="H98" s="14" cm="1">
        <f t="array" ref="H98:K98">MMULT($C97:$F97,P_Matrix)</f>
        <v>531900.80471699848</v>
      </c>
      <c r="I98" s="14">
        <v>439867.47402006277</v>
      </c>
      <c r="J98" s="14">
        <v>24971.911584487822</v>
      </c>
      <c r="K98" s="14">
        <v>72678.48234399411</v>
      </c>
      <c r="M98" s="12">
        <f>MAX((Inputs!F$25*POWER(1+(Inputs!$C$3-(Inputs!$C$3*(('Steady State'!$A98-1)/Inputs!$C$4))),'Steady State'!$A98-1)),M97)</f>
        <v>30128.078636820283</v>
      </c>
      <c r="N98" s="12">
        <f>MAX((Inputs!G$25*POWER(1+(Inputs!$C$3-(Inputs!$C$3*(('Steady State'!$A98-1)/Inputs!$C$4))),'Steady State'!$A98-1)),N97)</f>
        <v>12912.033701494407</v>
      </c>
      <c r="O98" s="12">
        <v>0</v>
      </c>
      <c r="P98" s="12">
        <v>0</v>
      </c>
    </row>
    <row r="99" spans="1:16" x14ac:dyDescent="0.35">
      <c r="A99">
        <v>97</v>
      </c>
      <c r="C99" s="14">
        <f t="shared" si="5"/>
        <v>565646.46122924681</v>
      </c>
      <c r="D99" s="14">
        <f t="shared" si="6"/>
        <v>455621.55899934837</v>
      </c>
      <c r="E99" s="14">
        <f t="shared" si="7"/>
        <v>25131.230861446449</v>
      </c>
      <c r="F99" s="14">
        <f t="shared" si="4"/>
        <v>36687.229628383233</v>
      </c>
      <c r="H99" s="14" cm="1">
        <f t="array" ref="H99:K99">MMULT($C98:$F98,P_Matrix)</f>
        <v>535332.13658825401</v>
      </c>
      <c r="I99" s="14">
        <v>442629.70558178006</v>
      </c>
      <c r="J99" s="14">
        <v>25131.230861446449</v>
      </c>
      <c r="K99" s="14">
        <v>73142.048598916444</v>
      </c>
      <c r="M99" s="12">
        <f>MAX((Inputs!F$25*POWER(1+(Inputs!$C$3-(Inputs!$C$3*(('Steady State'!$A99-1)/Inputs!$C$4))),'Steady State'!$A99-1)),M98)</f>
        <v>30314.3246409928</v>
      </c>
      <c r="N99" s="12">
        <f>MAX((Inputs!G$25*POWER(1+(Inputs!$C$3-(Inputs!$C$3*(('Steady State'!$A99-1)/Inputs!$C$4))),'Steady State'!$A99-1)),N98)</f>
        <v>12991.853417568344</v>
      </c>
      <c r="O99" s="12">
        <v>0</v>
      </c>
      <c r="P99" s="12">
        <v>0</v>
      </c>
    </row>
    <row r="100" spans="1:16" x14ac:dyDescent="0.35">
      <c r="A100">
        <v>98</v>
      </c>
      <c r="C100" s="14">
        <f t="shared" si="5"/>
        <v>569277.52279562829</v>
      </c>
      <c r="D100" s="14">
        <f t="shared" si="6"/>
        <v>458481.61920160888</v>
      </c>
      <c r="E100" s="14">
        <f t="shared" si="7"/>
        <v>25291.418719153822</v>
      </c>
      <c r="F100" s="14">
        <f t="shared" si="4"/>
        <v>36920.848322219455</v>
      </c>
      <c r="H100" s="14" cm="1">
        <f t="array" ref="H100:K100">MMULT($C99:$F99,P_Matrix)</f>
        <v>538777.01223163016</v>
      </c>
      <c r="I100" s="14">
        <v>445409.97181703825</v>
      </c>
      <c r="J100" s="14">
        <v>25291.418719153822</v>
      </c>
      <c r="K100" s="14">
        <v>73608.077950602688</v>
      </c>
      <c r="M100" s="12">
        <f>MAX((Inputs!F$25*POWER(1+(Inputs!$C$3-(Inputs!$C$3*(('Steady State'!$A100-1)/Inputs!$C$4))),'Steady State'!$A100-1)),M99)</f>
        <v>30500.510563998152</v>
      </c>
      <c r="N100" s="12">
        <f>MAX((Inputs!G$25*POWER(1+(Inputs!$C$3-(Inputs!$C$3*(('Steady State'!$A100-1)/Inputs!$C$4))),'Steady State'!$A100-1)),N99)</f>
        <v>13071.647384570637</v>
      </c>
      <c r="O100" s="12">
        <v>0</v>
      </c>
      <c r="P100" s="12">
        <v>0</v>
      </c>
    </row>
    <row r="101" spans="1:16" x14ac:dyDescent="0.35">
      <c r="A101">
        <v>99</v>
      </c>
      <c r="C101" s="14">
        <f t="shared" si="5"/>
        <v>572921.45065768505</v>
      </c>
      <c r="D101" s="14">
        <f t="shared" si="6"/>
        <v>461359.06870448275</v>
      </c>
      <c r="E101" s="14">
        <f t="shared" si="7"/>
        <v>25452.442651464662</v>
      </c>
      <c r="F101" s="14">
        <f t="shared" si="4"/>
        <v>37155.628939705573</v>
      </c>
      <c r="H101" s="14" cm="1">
        <f t="array" ref="H101:K101">MMULT($C100:$F100,P_Matrix)</f>
        <v>542234.82949182217</v>
      </c>
      <c r="I101" s="14">
        <v>448207.6596333987</v>
      </c>
      <c r="J101" s="14">
        <v>25452.442651464662</v>
      </c>
      <c r="K101" s="14">
        <v>74076.477261925029</v>
      </c>
      <c r="M101" s="12">
        <f>MAX((Inputs!F$25*POWER(1+(Inputs!$C$3-(Inputs!$C$3*(('Steady State'!$A101-1)/Inputs!$C$4))),'Steady State'!$A101-1)),M100)</f>
        <v>30686.621165862849</v>
      </c>
      <c r="N101" s="12">
        <f>MAX((Inputs!G$25*POWER(1+(Inputs!$C$3-(Inputs!$C$3*(('Steady State'!$A101-1)/Inputs!$C$4))),'Steady State'!$A101-1)),N100)</f>
        <v>13151.409071084079</v>
      </c>
      <c r="O101" s="12">
        <v>0</v>
      </c>
      <c r="P101" s="12">
        <v>0</v>
      </c>
    </row>
    <row r="102" spans="1:16" x14ac:dyDescent="0.35">
      <c r="A102">
        <v>100</v>
      </c>
      <c r="C102" s="14">
        <f t="shared" si="5"/>
        <v>576577.6396920688</v>
      </c>
      <c r="D102" s="14">
        <f t="shared" si="6"/>
        <v>464253.29832426563</v>
      </c>
      <c r="E102" s="14">
        <f t="shared" si="7"/>
        <v>25614.270784500477</v>
      </c>
      <c r="F102" s="14">
        <f t="shared" si="4"/>
        <v>37391.526243731198</v>
      </c>
      <c r="H102" s="14" cm="1">
        <f t="array" ref="H102:K102">MMULT($C101:$F101,P_Matrix)</f>
        <v>545704.99857041519</v>
      </c>
      <c r="I102" s="14">
        <v>451022.16641498555</v>
      </c>
      <c r="J102" s="14">
        <v>25614.270784500477</v>
      </c>
      <c r="K102" s="14">
        <v>74547.155183436771</v>
      </c>
      <c r="M102" s="12">
        <f>MAX((Inputs!F$25*POWER(1+(Inputs!$C$3-(Inputs!$C$3*(('Steady State'!$A102-1)/Inputs!$C$4))),'Steady State'!$A102-1)),M101)</f>
        <v>30872.641121653563</v>
      </c>
      <c r="N102" s="12">
        <f>MAX((Inputs!G$25*POWER(1+(Inputs!$C$3-(Inputs!$C$3*(('Steady State'!$A102-1)/Inputs!$C$4))),'Steady State'!$A102-1)),N101)</f>
        <v>13231.131909280099</v>
      </c>
      <c r="O102" s="12">
        <v>0</v>
      </c>
      <c r="P102" s="12">
        <v>0</v>
      </c>
    </row>
    <row r="103" spans="1:16" x14ac:dyDescent="0.35">
      <c r="A103">
        <v>101</v>
      </c>
      <c r="C103" s="14">
        <f t="shared" si="5"/>
        <v>580245.49639564357</v>
      </c>
      <c r="D103" s="14">
        <f t="shared" si="6"/>
        <v>467163.70903686428</v>
      </c>
      <c r="E103" s="14">
        <f t="shared" si="7"/>
        <v>25776.87185086363</v>
      </c>
      <c r="F103" s="14">
        <f t="shared" si="4"/>
        <v>37628.495836615162</v>
      </c>
      <c r="H103" s="14" cm="1">
        <f t="array" ref="H103:K103">MMULT($C102:$F102,P_Matrix)</f>
        <v>549186.9413722374</v>
      </c>
      <c r="I103" s="14">
        <v>453852.89974111877</v>
      </c>
      <c r="J103" s="14">
        <v>25776.87185086363</v>
      </c>
      <c r="K103" s="14">
        <v>75020.02208034636</v>
      </c>
      <c r="M103" s="12">
        <f>MAX((Inputs!F$25*POWER(1+(Inputs!$C$3-(Inputs!$C$3*(('Steady State'!$A103-1)/Inputs!$C$4))),'Steady State'!$A103-1)),M102)</f>
        <v>31058.555023406148</v>
      </c>
      <c r="N103" s="12">
        <f>MAX((Inputs!G$25*POWER(1+(Inputs!$C$3-(Inputs!$C$3*(('Steady State'!$A103-1)/Inputs!$C$4))),'Steady State'!$A103-1)),N102)</f>
        <v>13310.809295745494</v>
      </c>
      <c r="O103" s="12">
        <v>0</v>
      </c>
      <c r="P103" s="12">
        <v>0</v>
      </c>
    </row>
    <row r="104" spans="1:16" x14ac:dyDescent="0.35">
      <c r="A104">
        <v>102</v>
      </c>
      <c r="C104" s="14">
        <f t="shared" si="5"/>
        <v>583924.4382694317</v>
      </c>
      <c r="D104" s="14">
        <f t="shared" si="6"/>
        <v>470089.71169779351</v>
      </c>
      <c r="E104" s="14">
        <f t="shared" si="7"/>
        <v>25940.215164843255</v>
      </c>
      <c r="F104" s="14">
        <f t="shared" si="4"/>
        <v>37866.494125691148</v>
      </c>
      <c r="H104" s="14" cm="1">
        <f t="array" ref="H104:K104">MMULT($C103:$F103,P_Matrix)</f>
        <v>552680.09088735993</v>
      </c>
      <c r="I104" s="14">
        <v>456699.27710547706</v>
      </c>
      <c r="J104" s="14">
        <v>25940.215164843255</v>
      </c>
      <c r="K104" s="14">
        <v>75494.98996230631</v>
      </c>
      <c r="M104" s="12">
        <f>MAX((Inputs!F$25*POWER(1+(Inputs!$C$3-(Inputs!$C$3*(('Steady State'!$A104-1)/Inputs!$C$4))),'Steady State'!$A104-1)),M103)</f>
        <v>31244.347382071777</v>
      </c>
      <c r="N104" s="12">
        <f>MAX((Inputs!G$25*POWER(1+(Inputs!$C$3-(Inputs!$C$3*(('Steady State'!$A104-1)/Inputs!$C$4))),'Steady State'!$A104-1)),N103)</f>
        <v>13390.434592316476</v>
      </c>
      <c r="O104" s="12">
        <v>0</v>
      </c>
      <c r="P104" s="12">
        <v>0</v>
      </c>
    </row>
    <row r="105" spans="1:16" x14ac:dyDescent="0.35">
      <c r="A105">
        <v>103</v>
      </c>
      <c r="C105" s="14">
        <f t="shared" si="5"/>
        <v>587613.89323623048</v>
      </c>
      <c r="D105" s="14">
        <f t="shared" si="6"/>
        <v>473030.72676346416</v>
      </c>
      <c r="E105" s="14">
        <f t="shared" si="7"/>
        <v>26104.270598578205</v>
      </c>
      <c r="F105" s="14">
        <f t="shared" si="4"/>
        <v>38105.478290227569</v>
      </c>
      <c r="H105" s="14" cm="1">
        <f t="array" ref="H105:K105">MMULT($C104:$F104,P_Matrix)</f>
        <v>556183.89060672803</v>
      </c>
      <c r="I105" s="14">
        <v>459560.72563653457</v>
      </c>
      <c r="J105" s="14">
        <v>26104.270598578205</v>
      </c>
      <c r="K105" s="14">
        <v>75971.972415918717</v>
      </c>
      <c r="M105" s="12">
        <f>MAX((Inputs!F$25*POWER(1+(Inputs!$C$3-(Inputs!$C$3*(('Steady State'!$A105-1)/Inputs!$C$4))),'Steady State'!$A105-1)),M104)</f>
        <v>31430.002629502451</v>
      </c>
      <c r="N105" s="12">
        <f>MAX((Inputs!G$25*POWER(1+(Inputs!$C$3-(Inputs!$C$3*(('Steady State'!$A105-1)/Inputs!$C$4))),'Steady State'!$A105-1)),N104)</f>
        <v>13470.001126929623</v>
      </c>
      <c r="O105" s="12">
        <v>0</v>
      </c>
      <c r="P105" s="12">
        <v>0</v>
      </c>
    </row>
    <row r="106" spans="1:16" x14ac:dyDescent="0.35">
      <c r="A106">
        <v>104</v>
      </c>
      <c r="C106" s="14">
        <f t="shared" si="5"/>
        <v>591313.29909000837</v>
      </c>
      <c r="D106" s="14">
        <f t="shared" si="6"/>
        <v>475986.18401442707</v>
      </c>
      <c r="E106" s="14">
        <f t="shared" si="7"/>
        <v>26269.008559143869</v>
      </c>
      <c r="F106" s="14">
        <f t="shared" si="4"/>
        <v>38345.40624963538</v>
      </c>
      <c r="H106" s="14" cm="1">
        <f t="array" ref="H106:K106">MMULT($C105:$F105,P_Matrix)</f>
        <v>559697.79396954912</v>
      </c>
      <c r="I106" s="14">
        <v>462436.68181994453</v>
      </c>
      <c r="J106" s="14">
        <v>26269.008559143869</v>
      </c>
      <c r="K106" s="14">
        <v>76450.884539862949</v>
      </c>
      <c r="M106" s="12">
        <f>MAX((Inputs!F$25*POWER(1+(Inputs!$C$3-(Inputs!$C$3*(('Steady State'!$A106-1)/Inputs!$C$4))),'Steady State'!$A106-1)),M105)</f>
        <v>31615.505120459227</v>
      </c>
      <c r="N106" s="12">
        <f>MAX((Inputs!G$25*POWER(1+(Inputs!$C$3-(Inputs!$C$3*(('Steady State'!$A106-1)/Inputs!$C$4))),'Steady State'!$A106-1)),N105)</f>
        <v>13549.502194482526</v>
      </c>
      <c r="O106" s="12">
        <v>0</v>
      </c>
      <c r="P106" s="12">
        <v>0</v>
      </c>
    </row>
    <row r="107" spans="1:16" x14ac:dyDescent="0.35">
      <c r="A107">
        <v>105</v>
      </c>
      <c r="C107" s="14">
        <f t="shared" si="5"/>
        <v>595022.10297531227</v>
      </c>
      <c r="D107" s="14">
        <f t="shared" si="6"/>
        <v>478955.52228116838</v>
      </c>
      <c r="E107" s="14">
        <f t="shared" si="7"/>
        <v>26434.399966530676</v>
      </c>
      <c r="F107" s="14">
        <f t="shared" si="4"/>
        <v>38586.236632919034</v>
      </c>
      <c r="H107" s="14" cm="1">
        <f t="array" ref="H107:K107">MMULT($C106:$F106,P_Matrix)</f>
        <v>563221.26384066639</v>
      </c>
      <c r="I107" s="14">
        <v>465326.59122346301</v>
      </c>
      <c r="J107" s="14">
        <v>26434.399966530676</v>
      </c>
      <c r="K107" s="14">
        <v>76931.642882554414</v>
      </c>
      <c r="M107" s="12">
        <f>MAX((Inputs!F$25*POWER(1+(Inputs!$C$3-(Inputs!$C$3*(('Steady State'!$A107-1)/Inputs!$C$4))),'Steady State'!$A107-1)),M106)</f>
        <v>31800.839134645863</v>
      </c>
      <c r="N107" s="12">
        <f>MAX((Inputs!G$25*POWER(1+(Inputs!$C$3-(Inputs!$C$3*(('Steady State'!$A107-1)/Inputs!$C$4))),'Steady State'!$A107-1)),N106)</f>
        <v>13628.931057705369</v>
      </c>
      <c r="O107" s="12">
        <v>0</v>
      </c>
      <c r="P107" s="12">
        <v>0</v>
      </c>
    </row>
    <row r="108" spans="1:16" x14ac:dyDescent="0.35">
      <c r="A108">
        <v>106</v>
      </c>
      <c r="C108" s="14">
        <f t="shared" si="5"/>
        <v>598739.76089503418</v>
      </c>
      <c r="D108" s="14">
        <f t="shared" si="6"/>
        <v>481938.18917298963</v>
      </c>
      <c r="E108" s="14">
        <f t="shared" si="7"/>
        <v>26600.416232483214</v>
      </c>
      <c r="F108" s="14">
        <f t="shared" si="4"/>
        <v>38827.928749327089</v>
      </c>
      <c r="H108" s="14" cm="1">
        <f t="array" ref="H108:K108">MMULT($C107:$F107,P_Matrix)</f>
        <v>566753.77201625821</v>
      </c>
      <c r="I108" s="14">
        <v>468229.90822494274</v>
      </c>
      <c r="J108" s="14">
        <v>26600.416232483214</v>
      </c>
      <c r="K108" s="14">
        <v>77414.165382246123</v>
      </c>
      <c r="M108" s="12">
        <f>MAX((Inputs!F$25*POWER(1+(Inputs!$C$3-(Inputs!$C$3*(('Steady State'!$A108-1)/Inputs!$C$4))),'Steady State'!$A108-1)),M107)</f>
        <v>31985.988878776014</v>
      </c>
      <c r="N108" s="12">
        <f>MAX((Inputs!G$25*POWER(1+(Inputs!$C$3-(Inputs!$C$3*(('Steady State'!$A108-1)/Inputs!$C$4))),'Steady State'!$A108-1)),N107)</f>
        <v>13708.280948046862</v>
      </c>
      <c r="O108" s="12">
        <v>0</v>
      </c>
      <c r="P108" s="12">
        <v>0</v>
      </c>
    </row>
    <row r="109" spans="1:16" x14ac:dyDescent="0.35">
      <c r="A109">
        <v>107</v>
      </c>
      <c r="C109" s="14">
        <f t="shared" si="5"/>
        <v>602465.73724496947</v>
      </c>
      <c r="D109" s="14">
        <f t="shared" si="6"/>
        <v>484933.64081043319</v>
      </c>
      <c r="E109" s="14">
        <f t="shared" si="7"/>
        <v>26767.029240170166</v>
      </c>
      <c r="F109" s="14">
        <f t="shared" si="4"/>
        <v>39070.442560161515</v>
      </c>
      <c r="H109" s="14" cm="1">
        <f t="array" ref="H109:K109">MMULT($C108:$F108,P_Matrix)</f>
        <v>570294.79875631037</v>
      </c>
      <c r="I109" s="14">
        <v>471146.09574386501</v>
      </c>
      <c r="J109" s="14">
        <v>26767.029240170166</v>
      </c>
      <c r="K109" s="14">
        <v>77898.371309488604</v>
      </c>
      <c r="M109" s="12">
        <f>MAX((Inputs!F$25*POWER(1+(Inputs!$C$3-(Inputs!$C$3*(('Steady State'!$A109-1)/Inputs!$C$4))),'Steady State'!$A109-1)),M108)</f>
        <v>32170.938488659107</v>
      </c>
      <c r="N109" s="12">
        <f>MAX((Inputs!G$25*POWER(1+(Inputs!$C$3-(Inputs!$C$3*(('Steady State'!$A109-1)/Inputs!$C$4))),'Steady State'!$A109-1)),N108)</f>
        <v>13787.545066568189</v>
      </c>
      <c r="O109" s="12">
        <v>0</v>
      </c>
      <c r="P109" s="12">
        <v>0</v>
      </c>
    </row>
    <row r="110" spans="1:16" x14ac:dyDescent="0.35">
      <c r="A110">
        <v>108</v>
      </c>
      <c r="C110" s="14">
        <f t="shared" si="5"/>
        <v>606199.50437371165</v>
      </c>
      <c r="D110" s="14">
        <f t="shared" si="6"/>
        <v>487941.34156167042</v>
      </c>
      <c r="E110" s="14">
        <f t="shared" si="7"/>
        <v>26934.211324656128</v>
      </c>
      <c r="F110" s="14">
        <f t="shared" si="4"/>
        <v>39313.738651704618</v>
      </c>
      <c r="H110" s="14" cm="1">
        <f t="array" ref="H110:K110">MMULT($C109:$F109,P_Matrix)</f>
        <v>573843.83234239253</v>
      </c>
      <c r="I110" s="14">
        <v>474074.62497681938</v>
      </c>
      <c r="J110" s="14">
        <v>26934.211324656128</v>
      </c>
      <c r="K110" s="14">
        <v>78384.181211866133</v>
      </c>
      <c r="M110" s="12">
        <f>MAX((Inputs!F$25*POWER(1+(Inputs!$C$3-(Inputs!$C$3*(('Steady State'!$A110-1)/Inputs!$C$4))),'Steady State'!$A110-1)),M109)</f>
        <v>32355.672031319114</v>
      </c>
      <c r="N110" s="12">
        <f>MAX((Inputs!G$25*POWER(1+(Inputs!$C$3-(Inputs!$C$3*(('Steady State'!$A110-1)/Inputs!$C$4))),'Steady State'!$A110-1)),N109)</f>
        <v>13866.716584851049</v>
      </c>
      <c r="O110" s="12">
        <v>0</v>
      </c>
      <c r="P110" s="12">
        <v>0</v>
      </c>
    </row>
    <row r="111" spans="1:16" x14ac:dyDescent="0.35">
      <c r="A111">
        <v>109</v>
      </c>
      <c r="C111" s="14">
        <f t="shared" si="5"/>
        <v>609940.5421665113</v>
      </c>
      <c r="D111" s="14">
        <f t="shared" si="6"/>
        <v>490960.76378321112</v>
      </c>
      <c r="E111" s="14">
        <f t="shared" si="7"/>
        <v>27101.935254147495</v>
      </c>
      <c r="F111" s="14">
        <f t="shared" si="4"/>
        <v>39557.778209225486</v>
      </c>
      <c r="H111" s="14" cm="1">
        <f t="array" ref="H111:K111">MMULT($C110:$F110,P_Matrix)</f>
        <v>577400.36865937128</v>
      </c>
      <c r="I111" s="14">
        <v>477014.97513729392</v>
      </c>
      <c r="J111" s="14">
        <v>27101.935254147495</v>
      </c>
      <c r="K111" s="14">
        <v>78871.516860930104</v>
      </c>
      <c r="M111" s="12">
        <f>MAX((Inputs!F$25*POWER(1+(Inputs!$C$3-(Inputs!$C$3*(('Steady State'!$A111-1)/Inputs!$C$4))),'Steady State'!$A111-1)),M110)</f>
        <v>32540.173507140073</v>
      </c>
      <c r="N111" s="12">
        <f>MAX((Inputs!G$25*POWER(1+(Inputs!$C$3-(Inputs!$C$3*(('Steady State'!$A111-1)/Inputs!$C$4))),'Steady State'!$A111-1)),N110)</f>
        <v>13945.788645917175</v>
      </c>
      <c r="O111" s="12">
        <v>0</v>
      </c>
      <c r="P111" s="12">
        <v>0</v>
      </c>
    </row>
    <row r="112" spans="1:16" x14ac:dyDescent="0.35">
      <c r="A112">
        <v>110</v>
      </c>
      <c r="C112" s="14">
        <f t="shared" si="5"/>
        <v>613688.33765179676</v>
      </c>
      <c r="D112" s="14">
        <f t="shared" si="6"/>
        <v>493991.38756524358</v>
      </c>
      <c r="E112" s="14">
        <f t="shared" si="7"/>
        <v>27270.174211985723</v>
      </c>
      <c r="F112" s="14">
        <f t="shared" si="4"/>
        <v>39802.522992028556</v>
      </c>
      <c r="H112" s="14" cm="1">
        <f t="array" ref="H112:K112">MMULT($C111:$F111,P_Matrix)</f>
        <v>580963.91079976747</v>
      </c>
      <c r="I112" s="14">
        <v>479966.63320008817</v>
      </c>
      <c r="J112" s="14">
        <v>27270.174211985723</v>
      </c>
      <c r="K112" s="14">
        <v>79360.301201254042</v>
      </c>
      <c r="M112" s="12">
        <f>MAX((Inputs!F$25*POWER(1+(Inputs!$C$3-(Inputs!$C$3*(('Steady State'!$A112-1)/Inputs!$C$4))),'Steady State'!$A112-1)),M111)</f>
        <v>32724.426852029275</v>
      </c>
      <c r="N112" s="12">
        <f>MAX((Inputs!G$25*POWER(1+(Inputs!$C$3-(Inputs!$C$3*(('Steady State'!$A112-1)/Inputs!$C$4))),'Steady State'!$A112-1)),N111)</f>
        <v>14024.754365155404</v>
      </c>
      <c r="O112" s="12">
        <v>0</v>
      </c>
      <c r="P112" s="12">
        <v>0</v>
      </c>
    </row>
    <row r="113" spans="1:16" x14ac:dyDescent="0.35">
      <c r="A113">
        <v>111</v>
      </c>
      <c r="C113" s="14">
        <f t="shared" si="5"/>
        <v>617442.38462915714</v>
      </c>
      <c r="D113" s="14">
        <f t="shared" si="6"/>
        <v>497032.7004818811</v>
      </c>
      <c r="E113" s="14">
        <f t="shared" si="7"/>
        <v>27438.901779361837</v>
      </c>
      <c r="F113" s="14">
        <f t="shared" si="4"/>
        <v>40047.935309507629</v>
      </c>
      <c r="H113" s="14" cm="1">
        <f t="array" ref="H113:K113">MMULT($C112:$F112,P_Matrix)</f>
        <v>584533.96868953994</v>
      </c>
      <c r="I113" s="14">
        <v>482929.09365061659</v>
      </c>
      <c r="J113" s="14">
        <v>27438.901779361837</v>
      </c>
      <c r="K113" s="14">
        <v>79850.458301536186</v>
      </c>
      <c r="M113" s="12">
        <f>MAX((Inputs!F$25*POWER(1+(Inputs!$C$3-(Inputs!$C$3*(('Steady State'!$A113-1)/Inputs!$C$4))),'Steady State'!$A113-1)),M112)</f>
        <v>32908.415939617167</v>
      </c>
      <c r="N113" s="12">
        <f>MAX((Inputs!G$25*POWER(1+(Inputs!$C$3-(Inputs!$C$3*(('Steady State'!$A113-1)/Inputs!$C$4))),'Steady State'!$A113-1)),N112)</f>
        <v>14103.6068312645</v>
      </c>
      <c r="O113" s="12">
        <v>0</v>
      </c>
      <c r="P113" s="12">
        <v>0</v>
      </c>
    </row>
    <row r="114" spans="1:16" x14ac:dyDescent="0.35">
      <c r="A114">
        <v>112</v>
      </c>
      <c r="C114" s="14">
        <f t="shared" si="5"/>
        <v>621202.18331763358</v>
      </c>
      <c r="D114" s="14">
        <f t="shared" si="6"/>
        <v>500084.19734654011</v>
      </c>
      <c r="E114" s="14">
        <f t="shared" si="7"/>
        <v>27608.091918727485</v>
      </c>
      <c r="F114" s="14">
        <f t="shared" si="4"/>
        <v>40293.977998171606</v>
      </c>
      <c r="H114" s="14" cm="1">
        <f t="array" ref="H114:K114">MMULT($C113:$F113,P_Matrix)</f>
        <v>588110.05873416271</v>
      </c>
      <c r="I114" s="14">
        <v>485901.85823933827</v>
      </c>
      <c r="J114" s="14">
        <v>27608.091918727485</v>
      </c>
      <c r="K114" s="14">
        <v>80341.913307679235</v>
      </c>
      <c r="M114" s="12">
        <f>MAX((Inputs!F$25*POWER(1+(Inputs!$C$3-(Inputs!$C$3*(('Steady State'!$A114-1)/Inputs!$C$4))),'Steady State'!$A114-1)),M113)</f>
        <v>33092.124583470897</v>
      </c>
      <c r="N114" s="12">
        <f>MAX((Inputs!G$25*POWER(1+(Inputs!$C$3-(Inputs!$C$3*(('Steady State'!$A114-1)/Inputs!$C$4))),'Steady State'!$A114-1)),N113)</f>
        <v>14182.339107201815</v>
      </c>
      <c r="O114" s="12">
        <v>0</v>
      </c>
      <c r="P114" s="12">
        <v>0</v>
      </c>
    </row>
    <row r="115" spans="1:16" x14ac:dyDescent="0.35">
      <c r="A115">
        <v>113</v>
      </c>
      <c r="C115" s="14">
        <f t="shared" si="5"/>
        <v>624967.24002325872</v>
      </c>
      <c r="D115" s="14">
        <f t="shared" si="6"/>
        <v>503145.37997265003</v>
      </c>
      <c r="E115" s="14">
        <f t="shared" si="7"/>
        <v>27777.718957878227</v>
      </c>
      <c r="F115" s="14">
        <f t="shared" si="4"/>
        <v>40540.614399607068</v>
      </c>
      <c r="H115" s="14" cm="1">
        <f t="array" ref="H115:K115">MMULT($C114:$F114,P_Matrix)</f>
        <v>591691.70348391368</v>
      </c>
      <c r="I115" s="14">
        <v>488884.43574150215</v>
      </c>
      <c r="J115" s="14">
        <v>27777.718957878227</v>
      </c>
      <c r="K115" s="14">
        <v>80834.592397778673</v>
      </c>
      <c r="M115" s="12">
        <f>MAX((Inputs!F$25*POWER(1+(Inputs!$C$3-(Inputs!$C$3*(('Steady State'!$A115-1)/Inputs!$C$4))),'Steady State'!$A115-1)),M114)</f>
        <v>33275.536539345063</v>
      </c>
      <c r="N115" s="12">
        <f>MAX((Inputs!G$25*POWER(1+(Inputs!$C$3-(Inputs!$C$3*(('Steady State'!$A115-1)/Inputs!$C$4))),'Steady State'!$A115-1)),N114)</f>
        <v>14260.944231147885</v>
      </c>
      <c r="O115" s="12">
        <v>0</v>
      </c>
      <c r="P115" s="12">
        <v>0</v>
      </c>
    </row>
    <row r="116" spans="1:16" x14ac:dyDescent="0.35">
      <c r="A116">
        <v>114</v>
      </c>
      <c r="C116" s="14">
        <f t="shared" si="5"/>
        <v>628737.06682482024</v>
      </c>
      <c r="D116" s="14">
        <f t="shared" si="6"/>
        <v>506215.75693985209</v>
      </c>
      <c r="E116" s="14">
        <f t="shared" si="7"/>
        <v>27947.757574686024</v>
      </c>
      <c r="F116" s="14">
        <f t="shared" si="4"/>
        <v>40787.808339346833</v>
      </c>
      <c r="H116" s="14" cm="1">
        <f t="array" ref="H116:K116">MMULT($C115:$F115,P_Matrix)</f>
        <v>595278.43131737749</v>
      </c>
      <c r="I116" s="14">
        <v>491876.34172237659</v>
      </c>
      <c r="J116" s="14">
        <v>27947.757574686024</v>
      </c>
      <c r="K116" s="14">
        <v>81328.422738953901</v>
      </c>
      <c r="M116" s="12">
        <f>MAX((Inputs!F$25*POWER(1+(Inputs!$C$3-(Inputs!$C$3*(('Steady State'!$A116-1)/Inputs!$C$4))),'Steady State'!$A116-1)),M115)</f>
        <v>33458.635507442792</v>
      </c>
      <c r="N116" s="12">
        <f>MAX((Inputs!G$25*POWER(1+(Inputs!$C$3-(Inputs!$C$3*(('Steady State'!$A116-1)/Inputs!$C$4))),'Steady State'!$A116-1)),N115)</f>
        <v>14339.415217475482</v>
      </c>
      <c r="O116" s="12">
        <v>0</v>
      </c>
      <c r="P116" s="12">
        <v>0</v>
      </c>
    </row>
    <row r="117" spans="1:16" x14ac:dyDescent="0.35">
      <c r="A117">
        <v>115</v>
      </c>
      <c r="C117" s="14">
        <f t="shared" si="5"/>
        <v>632511.18127690919</v>
      </c>
      <c r="D117" s="14">
        <f t="shared" si="6"/>
        <v>509294.84336582356</v>
      </c>
      <c r="E117" s="14">
        <f t="shared" si="7"/>
        <v>28118.182782458334</v>
      </c>
      <c r="F117" s="14">
        <f t="shared" si="4"/>
        <v>41035.52410661168</v>
      </c>
      <c r="H117" s="14" cm="1">
        <f t="array" ref="H117:K117">MMULT($C116:$F116,P_Matrix)</f>
        <v>598869.77614219813</v>
      </c>
      <c r="I117" s="14">
        <v>494877.09830809024</v>
      </c>
      <c r="J117" s="14">
        <v>28118.182782458334</v>
      </c>
      <c r="K117" s="14">
        <v>81823.332445958513</v>
      </c>
      <c r="M117" s="12">
        <f>MAX((Inputs!F$25*POWER(1+(Inputs!$C$3-(Inputs!$C$3*(('Steady State'!$A117-1)/Inputs!$C$4))),'Steady State'!$A117-1)),M116)</f>
        <v>33641.405134711087</v>
      </c>
      <c r="N117" s="12">
        <f>MAX((Inputs!G$25*POWER(1+(Inputs!$C$3-(Inputs!$C$3*(('Steady State'!$A117-1)/Inputs!$C$4))),'Steady State'!$A117-1)),N116)</f>
        <v>14417.745057733324</v>
      </c>
      <c r="O117" s="12">
        <v>0</v>
      </c>
      <c r="P117" s="12">
        <v>0</v>
      </c>
    </row>
    <row r="118" spans="1:16" x14ac:dyDescent="0.35">
      <c r="A118">
        <v>116</v>
      </c>
      <c r="C118" s="14">
        <f t="shared" si="5"/>
        <v>636289.10612935806</v>
      </c>
      <c r="D118" s="14">
        <f t="shared" si="6"/>
        <v>512382.16068383324</v>
      </c>
      <c r="E118" s="14">
        <f t="shared" si="7"/>
        <v>28288.969915902329</v>
      </c>
      <c r="F118" s="14">
        <f t="shared" si="4"/>
        <v>41283.726434896576</v>
      </c>
      <c r="H118" s="14" cm="1">
        <f t="array" ref="H118:K118">MMULT($C117:$F117,P_Matrix)</f>
        <v>602465.27711219864</v>
      </c>
      <c r="I118" s="14">
        <v>497886.23396219348</v>
      </c>
      <c r="J118" s="14">
        <v>28288.969915902329</v>
      </c>
      <c r="K118" s="14">
        <v>82319.250541508256</v>
      </c>
      <c r="M118" s="12">
        <f>MAX((Inputs!F$25*POWER(1+(Inputs!$C$3-(Inputs!$C$3*(('Steady State'!$A118-1)/Inputs!$C$4))),'Steady State'!$A118-1)),M117)</f>
        <v>33823.829017159449</v>
      </c>
      <c r="N118" s="12">
        <f>MAX((Inputs!G$25*POWER(1+(Inputs!$C$3-(Inputs!$C$3*(('Steady State'!$A118-1)/Inputs!$C$4))),'Steady State'!$A118-1)),N117)</f>
        <v>14495.926721639764</v>
      </c>
      <c r="O118" s="12">
        <v>0</v>
      </c>
      <c r="P118" s="12">
        <v>0</v>
      </c>
    </row>
    <row r="119" spans="1:16" x14ac:dyDescent="0.35">
      <c r="A119">
        <v>117</v>
      </c>
      <c r="C119" s="14">
        <f t="shared" si="5"/>
        <v>640070.3690622166</v>
      </c>
      <c r="D119" s="14">
        <f t="shared" si="6"/>
        <v>515477.23642610584</v>
      </c>
      <c r="E119" s="14">
        <f t="shared" si="7"/>
        <v>28460.094617673309</v>
      </c>
      <c r="F119" s="14">
        <f t="shared" si="4"/>
        <v>41532.380483371329</v>
      </c>
      <c r="H119" s="14" cm="1">
        <f t="array" ref="H119:K119">MMULT($C118:$F118,P_Matrix)</f>
        <v>606064.47836002521</v>
      </c>
      <c r="I119" s="14">
        <v>500903.28326802381</v>
      </c>
      <c r="J119" s="14">
        <v>28460.094617673309</v>
      </c>
      <c r="K119" s="14">
        <v>82816.106918267906</v>
      </c>
      <c r="M119" s="12">
        <f>MAX((Inputs!F$25*POWER(1+(Inputs!$C$3-(Inputs!$C$3*(('Steady State'!$A119-1)/Inputs!$C$4))),'Steady State'!$A119-1)),M118)</f>
        <v>34005.89070219134</v>
      </c>
      <c r="N119" s="12">
        <f>MAX((Inputs!G$25*POWER(1+(Inputs!$C$3-(Inputs!$C$3*(('Steady State'!$A119-1)/Inputs!$C$4))),'Steady State'!$A119-1)),N118)</f>
        <v>14573.953158082004</v>
      </c>
      <c r="O119" s="12">
        <v>0</v>
      </c>
      <c r="P119" s="12">
        <v>0</v>
      </c>
    </row>
    <row r="120" spans="1:16" x14ac:dyDescent="0.35">
      <c r="A120">
        <v>118</v>
      </c>
      <c r="C120" s="14">
        <f t="shared" si="5"/>
        <v>643854.50243548548</v>
      </c>
      <c r="D120" s="14">
        <f t="shared" si="6"/>
        <v>518579.6040130601</v>
      </c>
      <c r="E120" s="14">
        <f t="shared" si="7"/>
        <v>28631.532825487207</v>
      </c>
      <c r="F120" s="14">
        <f t="shared" si="4"/>
        <v>41781.451819067988</v>
      </c>
      <c r="H120" s="14" cm="1">
        <f t="array" ref="H120:K120">MMULT($C119:$F119,P_Matrix)</f>
        <v>609666.92874451191</v>
      </c>
      <c r="I120" s="14">
        <v>503927.78671692859</v>
      </c>
      <c r="J120" s="14">
        <v>28631.532825487207</v>
      </c>
      <c r="K120" s="14">
        <v>83313.832302439318</v>
      </c>
      <c r="M120" s="12">
        <f>MAX((Inputs!F$25*POWER(1+(Inputs!$C$3-(Inputs!$C$3*(('Steady State'!$A120-1)/Inputs!$C$4))),'Steady State'!$A120-1)),M119)</f>
        <v>34187.573690973535</v>
      </c>
      <c r="N120" s="12">
        <f>MAX((Inputs!G$25*POWER(1+(Inputs!$C$3-(Inputs!$C$3*(('Steady State'!$A120-1)/Inputs!$C$4))),'Steady State'!$A120-1)),N119)</f>
        <v>14651.817296131516</v>
      </c>
      <c r="O120" s="12">
        <v>0</v>
      </c>
      <c r="P120" s="12">
        <v>0</v>
      </c>
    </row>
    <row r="121" spans="1:16" x14ac:dyDescent="0.35">
      <c r="A121">
        <v>119</v>
      </c>
      <c r="C121" s="14">
        <f t="shared" si="5"/>
        <v>647641.04305284773</v>
      </c>
      <c r="D121" s="14">
        <f t="shared" si="6"/>
        <v>521688.8025484535</v>
      </c>
      <c r="E121" s="14">
        <f t="shared" si="7"/>
        <v>28803.260759777779</v>
      </c>
      <c r="F121" s="14">
        <f t="shared" si="4"/>
        <v>42030.906399828156</v>
      </c>
      <c r="H121" s="14" cm="1">
        <f t="array" ref="H121:K121">MMULT($C120:$F120,P_Matrix)</f>
        <v>613272.18161203561</v>
      </c>
      <c r="I121" s="14">
        <v>506959.29050239117</v>
      </c>
      <c r="J121" s="14">
        <v>28803.260759777779</v>
      </c>
      <c r="K121" s="14">
        <v>83812.358218896145</v>
      </c>
      <c r="M121" s="12">
        <f>MAX((Inputs!F$25*POWER(1+(Inputs!$C$3-(Inputs!$C$3*(('Steady State'!$A121-1)/Inputs!$C$4))),'Steady State'!$A121-1)),M120)</f>
        <v>34368.861440812158</v>
      </c>
      <c r="N121" s="12">
        <f>MAX((Inputs!G$25*POWER(1+(Inputs!$C$3-(Inputs!$C$3*(('Steady State'!$A121-1)/Inputs!$C$4))),'Steady State'!$A121-1)),N120)</f>
        <v>14729.512046062353</v>
      </c>
      <c r="O121" s="12">
        <v>0</v>
      </c>
      <c r="P121" s="12">
        <v>0</v>
      </c>
    </row>
    <row r="122" spans="1:16" x14ac:dyDescent="0.35">
      <c r="A122">
        <v>120</v>
      </c>
      <c r="C122" s="14">
        <f t="shared" si="5"/>
        <v>651429.53193869966</v>
      </c>
      <c r="D122" s="14">
        <f t="shared" si="6"/>
        <v>524804.37662045972</v>
      </c>
      <c r="E122" s="14">
        <f t="shared" si="7"/>
        <v>28975.254911879681</v>
      </c>
      <c r="F122" s="14">
        <f t="shared" si="4"/>
        <v>42280.710557983482</v>
      </c>
      <c r="H122" s="14" cm="1">
        <f t="array" ref="H122:K122">MMULT($C121:$F121,P_Matrix)</f>
        <v>616879.79457113915</v>
      </c>
      <c r="I122" s="14">
        <v>509997.34632007667</v>
      </c>
      <c r="J122" s="14">
        <v>28975.254911879681</v>
      </c>
      <c r="K122" s="14">
        <v>84311.616957811639</v>
      </c>
      <c r="M122" s="12">
        <f>MAX((Inputs!F$25*POWER(1+(Inputs!$C$3-(Inputs!$C$3*(('Steady State'!$A122-1)/Inputs!$C$4))),'Steady State'!$A122-1)),M121)</f>
        <v>34549.737367560454</v>
      </c>
      <c r="N122" s="12">
        <f>MAX((Inputs!G$25*POWER(1+(Inputs!$C$3-(Inputs!$C$3*(('Steady State'!$A122-1)/Inputs!$C$4))),'Steady State'!$A122-1)),N121)</f>
        <v>14807.030300383052</v>
      </c>
      <c r="O122" s="12">
        <v>0</v>
      </c>
      <c r="P122" s="12">
        <v>0</v>
      </c>
    </row>
    <row r="123" spans="1:16" x14ac:dyDescent="0.35">
      <c r="A123">
        <v>121</v>
      </c>
      <c r="C123" s="14">
        <f t="shared" si="5"/>
        <v>655219.51412782015</v>
      </c>
      <c r="D123" s="14">
        <f t="shared" si="6"/>
        <v>527925.87610868318</v>
      </c>
      <c r="E123" s="14">
        <f t="shared" si="7"/>
        <v>29147.492032719401</v>
      </c>
      <c r="F123" s="14">
        <f t="shared" si="4"/>
        <v>42530.830984744702</v>
      </c>
      <c r="H123" s="14" cm="1">
        <f t="array" ref="H123:K123">MMULT($C122:$F122,P_Matrix)</f>
        <v>620489.32927977014</v>
      </c>
      <c r="I123" s="14">
        <v>513041.51117380464</v>
      </c>
      <c r="J123" s="14">
        <v>29147.492032719401</v>
      </c>
      <c r="K123" s="14">
        <v>84811.541542728184</v>
      </c>
      <c r="M123" s="12">
        <f>MAX((Inputs!F$25*POWER(1+(Inputs!$C$3-(Inputs!$C$3*(('Steady State'!$A123-1)/Inputs!$C$4))),'Steady State'!$A123-1)),M122)</f>
        <v>34730.184848050027</v>
      </c>
      <c r="N123" s="12">
        <f>MAX((Inputs!G$25*POWER(1+(Inputs!$C$3-(Inputs!$C$3*(('Steady State'!$A123-1)/Inputs!$C$4))),'Steady State'!$A123-1)),N122)</f>
        <v>14884.364934878582</v>
      </c>
      <c r="O123" s="12">
        <v>0</v>
      </c>
      <c r="P123" s="12">
        <v>0</v>
      </c>
    </row>
    <row r="124" spans="1:16" x14ac:dyDescent="0.35">
      <c r="A124">
        <v>122</v>
      </c>
      <c r="C124" s="14">
        <f t="shared" si="5"/>
        <v>659010.53846703714</v>
      </c>
      <c r="D124" s="14">
        <f t="shared" si="6"/>
        <v>531052.85599709605</v>
      </c>
      <c r="E124" s="14">
        <f t="shared" si="7"/>
        <v>29319.949121996673</v>
      </c>
      <c r="F124" s="14">
        <f t="shared" si="4"/>
        <v>42781.23471527495</v>
      </c>
      <c r="H124" s="14" cm="1">
        <f t="array" ref="H124:K124">MMULT($C123:$F123,P_Matrix)</f>
        <v>624100.35124450969</v>
      </c>
      <c r="I124" s="14">
        <v>516091.34718744137</v>
      </c>
      <c r="J124" s="14">
        <v>29319.949121996673</v>
      </c>
      <c r="K124" s="14">
        <v>85312.065700019652</v>
      </c>
      <c r="M124" s="12">
        <f>MAX((Inputs!F$25*POWER(1+(Inputs!$C$3-(Inputs!$C$3*(('Steady State'!$A124-1)/Inputs!$C$4))),'Steady State'!$A124-1)),M123)</f>
        <v>34910.187222527471</v>
      </c>
      <c r="N124" s="12">
        <f>MAX((Inputs!G$25*POWER(1+(Inputs!$C$3-(Inputs!$C$3*(('Steady State'!$A124-1)/Inputs!$C$4))),'Steady State'!$A124-1)),N123)</f>
        <v>14961.508809654631</v>
      </c>
      <c r="O124" s="12">
        <v>0</v>
      </c>
      <c r="P124" s="12">
        <v>0</v>
      </c>
    </row>
    <row r="125" spans="1:16" x14ac:dyDescent="0.35">
      <c r="A125">
        <v>123</v>
      </c>
      <c r="C125" s="14">
        <f t="shared" si="5"/>
        <v>662802.15742831829</v>
      </c>
      <c r="D125" s="14">
        <f t="shared" si="6"/>
        <v>534184.87619288161</v>
      </c>
      <c r="E125" s="14">
        <f t="shared" si="7"/>
        <v>29492.603417839335</v>
      </c>
      <c r="F125" s="14">
        <f t="shared" si="4"/>
        <v>43031.889114423167</v>
      </c>
      <c r="H125" s="14" cm="1">
        <f t="array" ref="H125:K125">MMULT($C124:$F124,P_Matrix)</f>
        <v>627712.42963118549</v>
      </c>
      <c r="I125" s="14">
        <v>519146.42142268183</v>
      </c>
      <c r="J125" s="14">
        <v>29492.603417839335</v>
      </c>
      <c r="K125" s="14">
        <v>85813.123829698117</v>
      </c>
      <c r="M125" s="12">
        <f>MAX((Inputs!F$25*POWER(1+(Inputs!$C$3-(Inputs!$C$3*(('Steady State'!$A125-1)/Inputs!$C$4))),'Steady State'!$A125-1)),M124)</f>
        <v>35089.727797132779</v>
      </c>
      <c r="N125" s="12">
        <f>MAX((Inputs!G$25*POWER(1+(Inputs!$C$3-(Inputs!$C$3*(('Steady State'!$A125-1)/Inputs!$C$4))),'Steady State'!$A125-1)),N124)</f>
        <v>15038.454770199764</v>
      </c>
      <c r="O125" s="12">
        <v>0</v>
      </c>
      <c r="P125" s="12">
        <v>0</v>
      </c>
    </row>
    <row r="126" spans="1:16" x14ac:dyDescent="0.35">
      <c r="A126">
        <v>124</v>
      </c>
      <c r="C126" s="14">
        <f t="shared" si="5"/>
        <v>666593.92693271034</v>
      </c>
      <c r="D126" s="14">
        <f t="shared" si="6"/>
        <v>537321.5013511437</v>
      </c>
      <c r="E126" s="14">
        <f t="shared" si="7"/>
        <v>29665.4323869156</v>
      </c>
      <c r="F126" s="14">
        <f t="shared" si="4"/>
        <v>43282.761863095824</v>
      </c>
      <c r="H126" s="14" cm="1">
        <f t="array" ref="H126:K126">MMULT($C125:$F125,P_Matrix)</f>
        <v>631325.13708633196</v>
      </c>
      <c r="I126" s="14">
        <v>522206.30570269586</v>
      </c>
      <c r="J126" s="14">
        <v>29665.4323869156</v>
      </c>
      <c r="K126" s="14">
        <v>86314.650977518992</v>
      </c>
      <c r="M126" s="12">
        <f>MAX((Inputs!F$25*POWER(1+(Inputs!$C$3-(Inputs!$C$3*(('Steady State'!$A126-1)/Inputs!$C$4))),'Steady State'!$A126-1)),M125)</f>
        <v>35268.78984637843</v>
      </c>
      <c r="N126" s="12">
        <f>MAX((Inputs!G$25*POWER(1+(Inputs!$C$3-(Inputs!$C$3*(('Steady State'!$A126-1)/Inputs!$C$4))),'Steady State'!$A126-1)),N125)</f>
        <v>15115.195648447898</v>
      </c>
      <c r="O126" s="12">
        <v>0</v>
      </c>
      <c r="P126" s="12">
        <v>0</v>
      </c>
    </row>
    <row r="127" spans="1:16" x14ac:dyDescent="0.35">
      <c r="A127">
        <v>125</v>
      </c>
      <c r="C127" s="14">
        <f t="shared" si="5"/>
        <v>670385.40618461103</v>
      </c>
      <c r="D127" s="14">
        <f t="shared" si="6"/>
        <v>540462.30070544092</v>
      </c>
      <c r="E127" s="14">
        <f t="shared" si="7"/>
        <v>29838.413714987902</v>
      </c>
      <c r="F127" s="14">
        <f t="shared" si="4"/>
        <v>43533.820945244523</v>
      </c>
      <c r="H127" s="14" cm="1">
        <f t="array" ref="H127:K127">MMULT($C126:$F126,P_Matrix)</f>
        <v>634938.04956895066</v>
      </c>
      <c r="I127" s="14">
        <v>525270.57644158648</v>
      </c>
      <c r="J127" s="14">
        <v>29838.413714987902</v>
      </c>
      <c r="K127" s="14">
        <v>86816.582808340347</v>
      </c>
      <c r="M127" s="12">
        <f>MAX((Inputs!F$25*POWER(1+(Inputs!$C$3-(Inputs!$C$3*(('Steady State'!$A127-1)/Inputs!$C$4))),'Steady State'!$A127-1)),M126)</f>
        <v>35447.35661566037</v>
      </c>
      <c r="N127" s="12">
        <f>MAX((Inputs!G$25*POWER(1+(Inputs!$C$3-(Inputs!$C$3*(('Steady State'!$A127-1)/Inputs!$C$4))),'Steady State'!$A127-1)),N126)</f>
        <v>15191.724263854443</v>
      </c>
      <c r="O127" s="12">
        <v>0</v>
      </c>
      <c r="P127" s="12">
        <v>0</v>
      </c>
    </row>
    <row r="128" spans="1:16" x14ac:dyDescent="0.35">
      <c r="A128">
        <v>126</v>
      </c>
      <c r="C128" s="14">
        <f t="shared" si="5"/>
        <v>674176.15751586994</v>
      </c>
      <c r="D128" s="14">
        <f t="shared" si="6"/>
        <v>543606.84790408856</v>
      </c>
      <c r="E128" s="14">
        <f t="shared" si="7"/>
        <v>30011.525297893262</v>
      </c>
      <c r="F128" s="14">
        <f t="shared" si="4"/>
        <v>43785.03463544853</v>
      </c>
      <c r="H128" s="14" cm="1">
        <f t="array" ref="H128:K128">MMULT($C127:$F127,P_Matrix)</f>
        <v>638550.74619208754</v>
      </c>
      <c r="I128" s="14">
        <v>528338.81447961042</v>
      </c>
      <c r="J128" s="14">
        <v>30011.525297893262</v>
      </c>
      <c r="K128" s="14">
        <v>87318.855580693053</v>
      </c>
      <c r="M128" s="12">
        <f>MAX((Inputs!F$25*POWER(1+(Inputs!$C$3-(Inputs!$C$3*(('Steady State'!$A128-1)/Inputs!$C$4))),'Steady State'!$A128-1)),M127)</f>
        <v>35625.411323782348</v>
      </c>
      <c r="N128" s="12">
        <f>MAX((Inputs!G$25*POWER(1+(Inputs!$C$3-(Inputs!$C$3*(('Steady State'!$A128-1)/Inputs!$C$4))),'Steady State'!$A128-1)),N127)</f>
        <v>15268.033424478148</v>
      </c>
      <c r="O128" s="12">
        <v>0</v>
      </c>
      <c r="P128" s="12">
        <v>0</v>
      </c>
    </row>
    <row r="129" spans="1:16" x14ac:dyDescent="0.35">
      <c r="A129">
        <v>127</v>
      </c>
      <c r="C129" s="14">
        <f t="shared" si="5"/>
        <v>677965.74623924587</v>
      </c>
      <c r="D129" s="14">
        <f t="shared" si="6"/>
        <v>546754.72085216665</v>
      </c>
      <c r="E129" s="14">
        <f t="shared" si="7"/>
        <v>30184.74523293554</v>
      </c>
      <c r="F129" s="14">
        <f t="shared" si="4"/>
        <v>44036.371487072065</v>
      </c>
      <c r="H129" s="14" cm="1">
        <f t="array" ref="H129:K129">MMULT($C128:$F128,P_Matrix)</f>
        <v>642162.80907374795</v>
      </c>
      <c r="I129" s="14">
        <v>531410.60492409614</v>
      </c>
      <c r="J129" s="14">
        <v>30184.74523293554</v>
      </c>
      <c r="K129" s="14">
        <v>87821.406122520595</v>
      </c>
      <c r="M129" s="12">
        <f>MAX((Inputs!F$25*POWER(1+(Inputs!$C$3-(Inputs!$C$3*(('Steady State'!$A129-1)/Inputs!$C$4))),'Steady State'!$A129-1)),M128)</f>
        <v>35802.93716549797</v>
      </c>
      <c r="N129" s="12">
        <f>MAX((Inputs!G$25*POWER(1+(Inputs!$C$3-(Inputs!$C$3*(('Steady State'!$A129-1)/Inputs!$C$4))),'Steady State'!$A129-1)),N128)</f>
        <v>15344.115928070558</v>
      </c>
      <c r="O129" s="12">
        <v>0</v>
      </c>
      <c r="P129" s="12">
        <v>0</v>
      </c>
    </row>
    <row r="130" spans="1:16" x14ac:dyDescent="0.35">
      <c r="A130">
        <v>128</v>
      </c>
      <c r="C130" s="14">
        <f t="shared" si="5"/>
        <v>681753.74051078386</v>
      </c>
      <c r="D130" s="14">
        <f t="shared" si="6"/>
        <v>549905.50155916612</v>
      </c>
      <c r="E130" s="14">
        <f t="shared" si="7"/>
        <v>30358.05181067545</v>
      </c>
      <c r="F130" s="14">
        <f t="shared" si="4"/>
        <v>44287.800320976261</v>
      </c>
      <c r="H130" s="14" cm="1">
        <f t="array" ref="H130:K130">MMULT($C129:$F129,P_Matrix)</f>
        <v>645773.82319670625</v>
      </c>
      <c r="I130" s="14">
        <v>534485.53699598997</v>
      </c>
      <c r="J130" s="14">
        <v>30358.05181067545</v>
      </c>
      <c r="K130" s="14">
        <v>88324.171808048326</v>
      </c>
      <c r="M130" s="12">
        <f>MAX((Inputs!F$25*POWER(1+(Inputs!$C$3-(Inputs!$C$3*(('Steady State'!$A130-1)/Inputs!$C$4))),'Steady State'!$A130-1)),M129)</f>
        <v>35979.917314077567</v>
      </c>
      <c r="N130" s="12">
        <f>MAX((Inputs!G$25*POWER(1+(Inputs!$C$3-(Inputs!$C$3*(('Steady State'!$A130-1)/Inputs!$C$4))),'Steady State'!$A130-1)),N129)</f>
        <v>15419.9645631761</v>
      </c>
      <c r="O130" s="12">
        <v>0</v>
      </c>
      <c r="P130" s="12">
        <v>0</v>
      </c>
    </row>
    <row r="131" spans="1:16" x14ac:dyDescent="0.35">
      <c r="A131">
        <v>129</v>
      </c>
      <c r="C131" s="14">
        <f t="shared" si="5"/>
        <v>685539.71120067418</v>
      </c>
      <c r="D131" s="14">
        <f t="shared" si="6"/>
        <v>553058.77599219058</v>
      </c>
      <c r="E131" s="14">
        <f t="shared" si="7"/>
        <v>30531.42350710477</v>
      </c>
      <c r="F131" s="14">
        <f t="shared" ref="F131:F194" si="8">(K131+P131)-F130</f>
        <v>44539.290214767367</v>
      </c>
      <c r="H131" s="14" cm="1">
        <f t="array" ref="H131:K131">MMULT($C130:$F130,P_Matrix)</f>
        <v>649383.37627679599</v>
      </c>
      <c r="I131" s="14">
        <v>537563.2038819571</v>
      </c>
      <c r="J131" s="14">
        <v>30531.42350710477</v>
      </c>
      <c r="K131" s="14">
        <v>88827.090535743628</v>
      </c>
      <c r="M131" s="12">
        <f>MAX((Inputs!F$25*POWER(1+(Inputs!$C$3-(Inputs!$C$3*(('Steady State'!$A131-1)/Inputs!$C$4))),'Steady State'!$A131-1)),M130)</f>
        <v>36156.334923878188</v>
      </c>
      <c r="N131" s="12">
        <f>MAX((Inputs!G$25*POWER(1+(Inputs!$C$3-(Inputs!$C$3*(('Steady State'!$A131-1)/Inputs!$C$4))),'Steady State'!$A131-1)),N130)</f>
        <v>15495.57211023351</v>
      </c>
      <c r="O131" s="12">
        <v>0</v>
      </c>
      <c r="P131" s="12">
        <v>0</v>
      </c>
    </row>
    <row r="132" spans="1:16" x14ac:dyDescent="0.35">
      <c r="A132">
        <v>130</v>
      </c>
      <c r="C132" s="14">
        <f t="shared" ref="C132:C195" si="9">H132+M132</f>
        <v>689323.23177221487</v>
      </c>
      <c r="D132" s="14">
        <f t="shared" ref="D132:D195" si="10">I132+N132</f>
        <v>556214.13393464207</v>
      </c>
      <c r="E132" s="14">
        <f t="shared" ref="E132:E195" si="11">J132+O132</f>
        <v>30704.83897619151</v>
      </c>
      <c r="F132" s="14">
        <f t="shared" si="8"/>
        <v>44790.810492562137</v>
      </c>
      <c r="H132" s="14" cm="1">
        <f t="array" ref="H132:K132">MMULT($C131:$F131,P_Matrix)</f>
        <v>652991.05863926606</v>
      </c>
      <c r="I132" s="14">
        <v>540643.20259194972</v>
      </c>
      <c r="J132" s="14">
        <v>30704.83897619151</v>
      </c>
      <c r="K132" s="14">
        <v>89330.100707329504</v>
      </c>
      <c r="M132" s="12">
        <f>MAX((Inputs!F$25*POWER(1+(Inputs!$C$3-(Inputs!$C$3*(('Steady State'!$A132-1)/Inputs!$C$4))),'Steady State'!$A132-1)),M131)</f>
        <v>36332.173132948796</v>
      </c>
      <c r="N132" s="12">
        <f>MAX((Inputs!G$25*POWER(1+(Inputs!$C$3-(Inputs!$C$3*(('Steady State'!$A132-1)/Inputs!$C$4))),'Steady State'!$A132-1)),N131)</f>
        <v>15570.931342692342</v>
      </c>
      <c r="O132" s="12">
        <v>0</v>
      </c>
      <c r="P132" s="12">
        <v>0</v>
      </c>
    </row>
    <row r="133" spans="1:16" x14ac:dyDescent="0.35">
      <c r="A133">
        <v>131</v>
      </c>
      <c r="C133" s="14">
        <f t="shared" si="9"/>
        <v>693103.8781684842</v>
      </c>
      <c r="D133" s="14">
        <f t="shared" si="10"/>
        <v>559371.16885029385</v>
      </c>
      <c r="E133" s="14">
        <f t="shared" si="11"/>
        <v>30878.277042783473</v>
      </c>
      <c r="F133" s="14">
        <f t="shared" si="8"/>
        <v>45042.330715253593</v>
      </c>
      <c r="H133" s="14" cm="1">
        <f t="array" ref="H133:K133">MMULT($C132:$F132,P_Matrix)</f>
        <v>656596.46310284757</v>
      </c>
      <c r="I133" s="14">
        <v>543725.13382216392</v>
      </c>
      <c r="J133" s="14">
        <v>30878.277042783473</v>
      </c>
      <c r="K133" s="14">
        <v>89833.14120781573</v>
      </c>
      <c r="M133" s="12">
        <f>MAX((Inputs!F$25*POWER(1+(Inputs!$C$3-(Inputs!$C$3*(('Steady State'!$A133-1)/Inputs!$C$4))),'Steady State'!$A133-1)),M132)</f>
        <v>36507.415065636633</v>
      </c>
      <c r="N133" s="12">
        <f>MAX((Inputs!G$25*POWER(1+(Inputs!$C$3-(Inputs!$C$3*(('Steady State'!$A133-1)/Inputs!$C$4))),'Steady State'!$A133-1)),N132)</f>
        <v>15646.035028129987</v>
      </c>
      <c r="O133" s="12">
        <v>0</v>
      </c>
      <c r="P133" s="12">
        <v>0</v>
      </c>
    </row>
    <row r="134" spans="1:16" x14ac:dyDescent="0.35">
      <c r="A134">
        <v>132</v>
      </c>
      <c r="C134" s="14">
        <f t="shared" si="9"/>
        <v>696881.22870636953</v>
      </c>
      <c r="D134" s="14">
        <f t="shared" si="10"/>
        <v>562529.47775266494</v>
      </c>
      <c r="E134" s="14">
        <f t="shared" si="11"/>
        <v>31051.716695857864</v>
      </c>
      <c r="F134" s="14">
        <f t="shared" si="8"/>
        <v>45293.8206712592</v>
      </c>
      <c r="H134" s="14" cm="1">
        <f t="array" ref="H134:K134">MMULT($C133:$F133,P_Matrix)</f>
        <v>660199.18487115647</v>
      </c>
      <c r="I134" s="14">
        <v>546808.6018232879</v>
      </c>
      <c r="J134" s="14">
        <v>31051.716695857864</v>
      </c>
      <c r="K134" s="14">
        <v>90336.151386512793</v>
      </c>
      <c r="M134" s="12">
        <f>MAX((Inputs!F$25*POWER(1+(Inputs!$C$3-(Inputs!$C$3*(('Steady State'!$A134-1)/Inputs!$C$4))),'Steady State'!$A134-1)),M133)</f>
        <v>36682.043835213095</v>
      </c>
      <c r="N134" s="12">
        <f>MAX((Inputs!G$25*POWER(1+(Inputs!$C$3-(Inputs!$C$3*(('Steady State'!$A134-1)/Inputs!$C$4))),'Steady State'!$A134-1)),N133)</f>
        <v>15720.87592937704</v>
      </c>
      <c r="O134" s="12">
        <v>0</v>
      </c>
      <c r="P134" s="12">
        <v>0</v>
      </c>
    </row>
    <row r="135" spans="1:16" x14ac:dyDescent="0.35">
      <c r="A135">
        <v>133</v>
      </c>
      <c r="C135" s="14">
        <f t="shared" si="9"/>
        <v>700654.86397762387</v>
      </c>
      <c r="D135" s="14">
        <f t="shared" si="10"/>
        <v>565688.66107960523</v>
      </c>
      <c r="E135" s="14">
        <f t="shared" si="11"/>
        <v>31225.137082105062</v>
      </c>
      <c r="F135" s="14">
        <f t="shared" si="8"/>
        <v>45545.250367735505</v>
      </c>
      <c r="H135" s="14" cm="1">
        <f t="array" ref="H135:K135">MMULT($C134:$F134,P_Matrix)</f>
        <v>663798.82143109967</v>
      </c>
      <c r="I135" s="14">
        <v>549893.21427395195</v>
      </c>
      <c r="J135" s="14">
        <v>31225.137082105062</v>
      </c>
      <c r="K135" s="14">
        <v>90839.071038994705</v>
      </c>
      <c r="M135" s="12">
        <f>MAX((Inputs!F$25*POWER(1+(Inputs!$C$3-(Inputs!$C$3*(('Steady State'!$A135-1)/Inputs!$C$4))),'Steady State'!$A135-1)),M134)</f>
        <v>36856.042546524193</v>
      </c>
      <c r="N135" s="12">
        <f>MAX((Inputs!G$25*POWER(1+(Inputs!$C$3-(Inputs!$C$3*(('Steady State'!$A135-1)/Inputs!$C$4))),'Steady State'!$A135-1)),N134)</f>
        <v>15795.446805653224</v>
      </c>
      <c r="O135" s="12">
        <v>0</v>
      </c>
      <c r="P135" s="12">
        <v>0</v>
      </c>
    </row>
    <row r="136" spans="1:16" x14ac:dyDescent="0.35">
      <c r="A136">
        <v>134</v>
      </c>
      <c r="C136" s="14">
        <f t="shared" si="9"/>
        <v>704424.36675661081</v>
      </c>
      <c r="D136" s="14">
        <f t="shared" si="10"/>
        <v>568848.32257298462</v>
      </c>
      <c r="E136" s="14">
        <f t="shared" si="11"/>
        <v>31398.517499835325</v>
      </c>
      <c r="F136" s="14">
        <f t="shared" si="8"/>
        <v>45796.59002224313</v>
      </c>
      <c r="H136" s="14" cm="1">
        <f t="array" ref="H136:K136">MMULT($C135:$F135,P_Matrix)</f>
        <v>667394.97245797305</v>
      </c>
      <c r="I136" s="14">
        <v>552978.58215928276</v>
      </c>
      <c r="J136" s="14">
        <v>31398.517499835325</v>
      </c>
      <c r="K136" s="14">
        <v>91341.840389978635</v>
      </c>
      <c r="M136" s="12">
        <f>MAX((Inputs!F$25*POWER(1+(Inputs!$C$3-(Inputs!$C$3*(('Steady State'!$A136-1)/Inputs!$C$4))),'Steady State'!$A136-1)),M135)</f>
        <v>37029.394298637802</v>
      </c>
      <c r="N136" s="12">
        <f>MAX((Inputs!G$25*POWER(1+(Inputs!$C$3-(Inputs!$C$3*(('Steady State'!$A136-1)/Inputs!$C$4))),'Steady State'!$A136-1)),N135)</f>
        <v>15869.740413701913</v>
      </c>
      <c r="O136" s="12">
        <v>0</v>
      </c>
      <c r="P136" s="12">
        <v>0</v>
      </c>
    </row>
    <row r="137" spans="1:16" x14ac:dyDescent="0.35">
      <c r="A137">
        <v>135</v>
      </c>
      <c r="C137" s="14">
        <f t="shared" si="9"/>
        <v>708189.32191445271</v>
      </c>
      <c r="D137" s="14">
        <f t="shared" si="10"/>
        <v>572008.06916339882</v>
      </c>
      <c r="E137" s="14">
        <f t="shared" si="11"/>
        <v>31571.837393197151</v>
      </c>
      <c r="F137" s="14">
        <f t="shared" si="8"/>
        <v>46047.810054846697</v>
      </c>
      <c r="H137" s="14" cm="1">
        <f t="array" ref="H137:K137">MMULT($C136:$F136,P_Matrix)</f>
        <v>670987.23972692748</v>
      </c>
      <c r="I137" s="14">
        <v>556064.31965445937</v>
      </c>
      <c r="J137" s="14">
        <v>31571.837393197151</v>
      </c>
      <c r="K137" s="14">
        <v>91844.400077089827</v>
      </c>
      <c r="M137" s="12">
        <f>MAX((Inputs!F$25*POWER(1+(Inputs!$C$3-(Inputs!$C$3*(('Steady State'!$A137-1)/Inputs!$C$4))),'Steady State'!$A137-1)),M136)</f>
        <v>37202.082187525266</v>
      </c>
      <c r="N137" s="12">
        <f>MAX((Inputs!G$25*POWER(1+(Inputs!$C$3-(Inputs!$C$3*(('Steady State'!$A137-1)/Inputs!$C$4))),'Steady State'!$A137-1)),N136)</f>
        <v>15943.7495089394</v>
      </c>
      <c r="O137" s="12">
        <v>0</v>
      </c>
      <c r="P137" s="12">
        <v>0</v>
      </c>
    </row>
    <row r="138" spans="1:16" x14ac:dyDescent="0.35">
      <c r="A138">
        <v>136</v>
      </c>
      <c r="C138" s="14">
        <f t="shared" si="9"/>
        <v>711949.3163392758</v>
      </c>
      <c r="D138" s="14">
        <f t="shared" si="10"/>
        <v>575167.5108597792</v>
      </c>
      <c r="E138" s="14">
        <f t="shared" si="11"/>
        <v>31745.076346696806</v>
      </c>
      <c r="F138" s="14">
        <f t="shared" si="8"/>
        <v>46298.881080634827</v>
      </c>
      <c r="H138" s="14" cm="1">
        <f t="array" ref="H138:K138">MMULT($C137:$F137,P_Matrix)</f>
        <v>674575.22703053919</v>
      </c>
      <c r="I138" s="14">
        <v>559150.04401317774</v>
      </c>
      <c r="J138" s="14">
        <v>31745.076346696806</v>
      </c>
      <c r="K138" s="14">
        <v>92346.691135481524</v>
      </c>
      <c r="M138" s="12">
        <f>MAX((Inputs!F$25*POWER(1+(Inputs!$C$3-(Inputs!$C$3*(('Steady State'!$A138-1)/Inputs!$C$4))),'Steady State'!$A138-1)),M137)</f>
        <v>37374.089308736606</v>
      </c>
      <c r="N138" s="12">
        <f>MAX((Inputs!G$25*POWER(1+(Inputs!$C$3-(Inputs!$C$3*(('Steady State'!$A138-1)/Inputs!$C$4))),'Steady State'!$A138-1)),N137)</f>
        <v>16017.466846601403</v>
      </c>
      <c r="O138" s="12">
        <v>0</v>
      </c>
      <c r="P138" s="12">
        <v>0</v>
      </c>
    </row>
    <row r="139" spans="1:16" x14ac:dyDescent="0.35">
      <c r="A139">
        <v>137</v>
      </c>
      <c r="C139" s="14">
        <f t="shared" si="9"/>
        <v>715703.93886228907</v>
      </c>
      <c r="D139" s="14">
        <f t="shared" si="10"/>
        <v>578326.26064381166</v>
      </c>
      <c r="E139" s="14">
        <f t="shared" si="11"/>
        <v>31918.214080008634</v>
      </c>
      <c r="F139" s="14">
        <f t="shared" si="8"/>
        <v>46549.773902645866</v>
      </c>
      <c r="H139" s="14" cm="1">
        <f t="array" ref="H139:K139">MMULT($C138:$F138,P_Matrix)</f>
        <v>678158.54010218673</v>
      </c>
      <c r="I139" s="14">
        <v>562235.37546091061</v>
      </c>
      <c r="J139" s="14">
        <v>31918.214080008634</v>
      </c>
      <c r="K139" s="14">
        <v>92848.654983280692</v>
      </c>
      <c r="M139" s="12">
        <f>MAX((Inputs!F$25*POWER(1+(Inputs!$C$3-(Inputs!$C$3*(('Steady State'!$A139-1)/Inputs!$C$4))),'Steady State'!$A139-1)),M138)</f>
        <v>37545.398760102355</v>
      </c>
      <c r="N139" s="12">
        <f>MAX((Inputs!G$25*POWER(1+(Inputs!$C$3-(Inputs!$C$3*(('Steady State'!$A139-1)/Inputs!$C$4))),'Steady State'!$A139-1)),N138)</f>
        <v>16090.885182901009</v>
      </c>
      <c r="O139" s="12">
        <v>0</v>
      </c>
      <c r="P139" s="12">
        <v>0</v>
      </c>
    </row>
    <row r="140" spans="1:16" x14ac:dyDescent="0.35">
      <c r="A140">
        <v>138</v>
      </c>
      <c r="C140" s="14">
        <f t="shared" si="9"/>
        <v>719452.78018943884</v>
      </c>
      <c r="D140" s="14">
        <f t="shared" si="10"/>
        <v>581483.93436905928</v>
      </c>
      <c r="E140" s="14">
        <f t="shared" si="11"/>
        <v>32091.230443066186</v>
      </c>
      <c r="F140" s="14">
        <f t="shared" si="8"/>
        <v>46800.459505185187</v>
      </c>
      <c r="H140" s="14" cm="1">
        <f t="array" ref="H140:K140">MMULT($C139:$F139,P_Matrix)</f>
        <v>681736.78654499073</v>
      </c>
      <c r="I140" s="14">
        <v>565319.93709286721</v>
      </c>
      <c r="J140" s="14">
        <v>32091.230443066186</v>
      </c>
      <c r="K140" s="14">
        <v>93350.233407831052</v>
      </c>
      <c r="M140" s="12">
        <f>MAX((Inputs!F$25*POWER(1+(Inputs!$C$3-(Inputs!$C$3*(('Steady State'!$A140-1)/Inputs!$C$4))),'Steady State'!$A140-1)),M139)</f>
        <v>37715.993644448165</v>
      </c>
      <c r="N140" s="12">
        <f>MAX((Inputs!G$25*POWER(1+(Inputs!$C$3-(Inputs!$C$3*(('Steady State'!$A140-1)/Inputs!$C$4))),'Steady State'!$A140-1)),N139)</f>
        <v>16163.997276192071</v>
      </c>
      <c r="O140" s="12">
        <v>0</v>
      </c>
      <c r="P140" s="12">
        <v>0</v>
      </c>
    </row>
    <row r="141" spans="1:16" x14ac:dyDescent="0.35">
      <c r="A141">
        <v>139</v>
      </c>
      <c r="C141" s="14">
        <f t="shared" si="9"/>
        <v>723195.43283837521</v>
      </c>
      <c r="D141" s="14">
        <f t="shared" si="10"/>
        <v>584640.15066467936</v>
      </c>
      <c r="E141" s="14">
        <f t="shared" si="11"/>
        <v>32264.105411424691</v>
      </c>
      <c r="F141" s="14">
        <f t="shared" si="8"/>
        <v>47050.909047521483</v>
      </c>
      <c r="H141" s="14" cm="1">
        <f t="array" ref="H141:K141">MMULT($C140:$F140,P_Matrix)</f>
        <v>685309.5757660697</v>
      </c>
      <c r="I141" s="14">
        <v>568403.35477654845</v>
      </c>
      <c r="J141" s="14">
        <v>32264.105411424691</v>
      </c>
      <c r="K141" s="14">
        <v>93851.36855270667</v>
      </c>
      <c r="M141" s="12">
        <f>MAX((Inputs!F$25*POWER(1+(Inputs!$C$3-(Inputs!$C$3*(('Steady State'!$A141-1)/Inputs!$C$4))),'Steady State'!$A141-1)),M140)</f>
        <v>37885.857072305524</v>
      </c>
      <c r="N141" s="12">
        <f>MAX((Inputs!G$25*POWER(1+(Inputs!$C$3-(Inputs!$C$3*(('Steady State'!$A141-1)/Inputs!$C$4))),'Steady State'!$A141-1)),N140)</f>
        <v>16236.795888130939</v>
      </c>
      <c r="O141" s="12">
        <v>0</v>
      </c>
      <c r="P141" s="12">
        <v>0</v>
      </c>
    </row>
    <row r="142" spans="1:16" x14ac:dyDescent="0.35">
      <c r="A142">
        <v>140</v>
      </c>
      <c r="C142" s="14">
        <f t="shared" si="9"/>
        <v>726931.49108051707</v>
      </c>
      <c r="D142" s="14">
        <f t="shared" si="10"/>
        <v>587794.53084363637</v>
      </c>
      <c r="E142" s="14">
        <f t="shared" si="11"/>
        <v>32436.819081885362</v>
      </c>
      <c r="F142" s="14">
        <f t="shared" si="8"/>
        <v>47301.093857947802</v>
      </c>
      <c r="H142" s="14" cm="1">
        <f t="array" ref="H142:K142">MMULT($C141:$F141,P_Matrix)</f>
        <v>688876.51891586185</v>
      </c>
      <c r="I142" s="14">
        <v>571485.25705878413</v>
      </c>
      <c r="J142" s="14">
        <v>32436.819081885362</v>
      </c>
      <c r="K142" s="14">
        <v>94352.002905469286</v>
      </c>
      <c r="M142" s="12">
        <f>MAX((Inputs!F$25*POWER(1+(Inputs!$C$3-(Inputs!$C$3*(('Steady State'!$A142-1)/Inputs!$C$4))),'Steady State'!$A142-1)),M141)</f>
        <v>38054.972164655221</v>
      </c>
      <c r="N142" s="12">
        <f>MAX((Inputs!G$25*POWER(1+(Inputs!$C$3-(Inputs!$C$3*(('Steady State'!$A142-1)/Inputs!$C$4))),'Steady State'!$A142-1)),N141)</f>
        <v>16309.273784852239</v>
      </c>
      <c r="O142" s="12">
        <v>0</v>
      </c>
      <c r="P142" s="12">
        <v>0</v>
      </c>
    </row>
    <row r="143" spans="1:16" x14ac:dyDescent="0.35">
      <c r="A143">
        <v>141</v>
      </c>
      <c r="C143" s="14">
        <f t="shared" si="9"/>
        <v>730660.55088797444</v>
      </c>
      <c r="D143" s="14">
        <f t="shared" si="10"/>
        <v>590946.69881530071</v>
      </c>
      <c r="E143" s="14">
        <f t="shared" si="11"/>
        <v>32609.351668372754</v>
      </c>
      <c r="F143" s="14">
        <f t="shared" si="8"/>
        <v>47550.985428195934</v>
      </c>
      <c r="H143" s="14" cm="1">
        <f t="array" ref="H143:K143">MMULT($C142:$F142,P_Matrix)</f>
        <v>692437.22883231088</v>
      </c>
      <c r="I143" s="14">
        <v>574565.27507715917</v>
      </c>
      <c r="J143" s="14">
        <v>32609.351668372754</v>
      </c>
      <c r="K143" s="14">
        <v>94852.079286143737</v>
      </c>
      <c r="M143" s="12">
        <f>MAX((Inputs!F$25*POWER(1+(Inputs!$C$3-(Inputs!$C$3*(('Steady State'!$A143-1)/Inputs!$C$4))),'Steady State'!$A143-1)),M142)</f>
        <v>38223.322055663557</v>
      </c>
      <c r="N143" s="12">
        <f>MAX((Inputs!G$25*POWER(1+(Inputs!$C$3-(Inputs!$C$3*(('Steady State'!$A143-1)/Inputs!$C$4))),'Steady State'!$A143-1)),N142)</f>
        <v>16381.423738141526</v>
      </c>
      <c r="O143" s="12">
        <v>0</v>
      </c>
      <c r="P143" s="12">
        <v>0</v>
      </c>
    </row>
    <row r="144" spans="1:16" x14ac:dyDescent="0.35">
      <c r="A144">
        <v>142</v>
      </c>
      <c r="C144" s="14">
        <f t="shared" si="9"/>
        <v>734382.20988512191</v>
      </c>
      <c r="D144" s="14">
        <f t="shared" si="10"/>
        <v>594096.28100232908</v>
      </c>
      <c r="E144" s="14">
        <f t="shared" si="11"/>
        <v>32781.683498056402</v>
      </c>
      <c r="F144" s="14">
        <f t="shared" si="8"/>
        <v>47800.555408191438</v>
      </c>
      <c r="H144" s="14" cm="1">
        <f t="array" ref="H144:K144">MMULT($C143:$F143,P_Matrix)</f>
        <v>695991.31998968625</v>
      </c>
      <c r="I144" s="14">
        <v>577643.04247571377</v>
      </c>
      <c r="J144" s="14">
        <v>32781.683498056402</v>
      </c>
      <c r="K144" s="14">
        <v>95351.540836387372</v>
      </c>
      <c r="M144" s="12">
        <f>MAX((Inputs!F$25*POWER(1+(Inputs!$C$3-(Inputs!$C$3*(('Steady State'!$A144-1)/Inputs!$C$4))),'Steady State'!$A144-1)),M143)</f>
        <v>38390.889895435626</v>
      </c>
      <c r="N144" s="12">
        <f>MAX((Inputs!G$25*POWER(1+(Inputs!$C$3-(Inputs!$C$3*(('Steady State'!$A144-1)/Inputs!$C$4))),'Steady State'!$A144-1)),N143)</f>
        <v>16453.238526615267</v>
      </c>
      <c r="O144" s="12">
        <v>0</v>
      </c>
      <c r="P144" s="12">
        <v>0</v>
      </c>
    </row>
    <row r="145" spans="1:16" x14ac:dyDescent="0.35">
      <c r="A145">
        <v>143</v>
      </c>
      <c r="C145" s="14">
        <f t="shared" si="9"/>
        <v>738096.06730462715</v>
      </c>
      <c r="D145" s="14">
        <f t="shared" si="10"/>
        <v>597242.90626172512</v>
      </c>
      <c r="E145" s="14">
        <f t="shared" si="11"/>
        <v>32953.795007708351</v>
      </c>
      <c r="F145" s="14">
        <f t="shared" si="8"/>
        <v>48049.775601137626</v>
      </c>
      <c r="H145" s="14" cm="1">
        <f t="array" ref="H145:K145">MMULT($C144:$F144,P_Matrix)</f>
        <v>699538.40845184354</v>
      </c>
      <c r="I145" s="14">
        <v>580718.19532481791</v>
      </c>
      <c r="J145" s="14">
        <v>32953.795007708351</v>
      </c>
      <c r="K145" s="14">
        <v>95850.331009329064</v>
      </c>
      <c r="M145" s="12">
        <f>MAX((Inputs!F$25*POWER(1+(Inputs!$C$3-(Inputs!$C$3*(('Steady State'!$A145-1)/Inputs!$C$4))),'Steady State'!$A145-1)),M144)</f>
        <v>38557.65885278357</v>
      </c>
      <c r="N145" s="12">
        <f>MAX((Inputs!G$25*POWER(1+(Inputs!$C$3-(Inputs!$C$3*(('Steady State'!$A145-1)/Inputs!$C$4))),'Steady State'!$A145-1)),N144)</f>
        <v>16524.710936907246</v>
      </c>
      <c r="O145" s="12">
        <v>0</v>
      </c>
      <c r="P145" s="12">
        <v>0</v>
      </c>
    </row>
    <row r="146" spans="1:16" x14ac:dyDescent="0.35">
      <c r="A146">
        <v>144</v>
      </c>
      <c r="C146" s="14">
        <f t="shared" si="9"/>
        <v>741801.72394772596</v>
      </c>
      <c r="D146" s="14">
        <f t="shared" si="10"/>
        <v>600386.20580996899</v>
      </c>
      <c r="E146" s="14">
        <f t="shared" si="11"/>
        <v>33125.666740288536</v>
      </c>
      <c r="F146" s="14">
        <f t="shared" si="8"/>
        <v>48298.617958917668</v>
      </c>
      <c r="H146" s="14" cm="1">
        <f t="array" ref="H146:K146">MMULT($C145:$F145,P_Matrix)</f>
        <v>703078.11182973755</v>
      </c>
      <c r="I146" s="14">
        <v>583790.37204511685</v>
      </c>
      <c r="J146" s="14">
        <v>33125.666740288536</v>
      </c>
      <c r="K146" s="14">
        <v>96348.393560055294</v>
      </c>
      <c r="M146" s="12">
        <f>MAX((Inputs!F$25*POWER(1+(Inputs!$C$3-(Inputs!$C$3*(('Steady State'!$A146-1)/Inputs!$C$4))),'Steady State'!$A146-1)),M145)</f>
        <v>38723.612117988465</v>
      </c>
      <c r="N146" s="12">
        <f>MAX((Inputs!G$25*POWER(1+(Inputs!$C$3-(Inputs!$C$3*(('Steady State'!$A146-1)/Inputs!$C$4))),'Steady State'!$A146-1)),N145)</f>
        <v>16595.833764852199</v>
      </c>
      <c r="O146" s="12">
        <v>0</v>
      </c>
      <c r="P146" s="12">
        <v>0</v>
      </c>
    </row>
    <row r="147" spans="1:16" x14ac:dyDescent="0.35">
      <c r="A147">
        <v>145</v>
      </c>
      <c r="C147" s="14">
        <f t="shared" si="9"/>
        <v>745498.78214858077</v>
      </c>
      <c r="D147" s="14">
        <f t="shared" si="10"/>
        <v>603525.8131521208</v>
      </c>
      <c r="E147" s="14">
        <f t="shared" si="11"/>
        <v>33297.279341750072</v>
      </c>
      <c r="F147" s="14">
        <f t="shared" si="8"/>
        <v>48547.05457780297</v>
      </c>
      <c r="H147" s="14" cm="1">
        <f t="array" ref="H147:K147">MMULT($C146:$F146,P_Matrix)</f>
        <v>706610.04924299091</v>
      </c>
      <c r="I147" s="14">
        <v>586859.21333543945</v>
      </c>
      <c r="J147" s="14">
        <v>33297.279341750072</v>
      </c>
      <c r="K147" s="14">
        <v>96845.672536720638</v>
      </c>
      <c r="M147" s="12">
        <f>MAX((Inputs!F$25*POWER(1+(Inputs!$C$3-(Inputs!$C$3*(('Steady State'!$A147-1)/Inputs!$C$4))),'Steady State'!$A147-1)),M146)</f>
        <v>38888.73290558991</v>
      </c>
      <c r="N147" s="12">
        <f>MAX((Inputs!G$25*POWER(1+(Inputs!$C$3-(Inputs!$C$3*(('Steady State'!$A147-1)/Inputs!$C$4))),'Steady State'!$A147-1)),N146)</f>
        <v>16666.599816681392</v>
      </c>
      <c r="O147" s="12">
        <v>0</v>
      </c>
      <c r="P147" s="12">
        <v>0</v>
      </c>
    </row>
    <row r="148" spans="1:16" x14ac:dyDescent="0.35">
      <c r="A148">
        <v>146</v>
      </c>
      <c r="C148" s="14">
        <f t="shared" si="9"/>
        <v>749186.84574252227</v>
      </c>
      <c r="D148" s="14">
        <f t="shared" si="10"/>
        <v>606661.36401478527</v>
      </c>
      <c r="E148" s="14">
        <f t="shared" si="11"/>
        <v>33468.613558057055</v>
      </c>
      <c r="F148" s="14">
        <f t="shared" si="8"/>
        <v>48795.057694458555</v>
      </c>
      <c r="H148" s="14" cm="1">
        <f t="array" ref="H148:K148">MMULT($C147:$F147,P_Matrix)</f>
        <v>710133.84128536214</v>
      </c>
      <c r="I148" s="14">
        <v>589924.36210457375</v>
      </c>
      <c r="J148" s="14">
        <v>33468.613558057055</v>
      </c>
      <c r="K148" s="14">
        <v>97342.112272261526</v>
      </c>
      <c r="M148" s="12">
        <f>MAX((Inputs!F$25*POWER(1+(Inputs!$C$3-(Inputs!$C$3*(('Steady State'!$A148-1)/Inputs!$C$4))),'Steady State'!$A148-1)),M147)</f>
        <v>39053.00445716011</v>
      </c>
      <c r="N148" s="12">
        <f>MAX((Inputs!G$25*POWER(1+(Inputs!$C$3-(Inputs!$C$3*(('Steady State'!$A148-1)/Inputs!$C$4))),'Steady State'!$A148-1)),N147)</f>
        <v>16737.001910211475</v>
      </c>
      <c r="O148" s="12">
        <v>0</v>
      </c>
      <c r="P148" s="12">
        <v>0</v>
      </c>
    </row>
    <row r="149" spans="1:16" x14ac:dyDescent="0.35">
      <c r="A149">
        <v>147</v>
      </c>
      <c r="C149" s="14">
        <f t="shared" si="9"/>
        <v>752865.52003802848</v>
      </c>
      <c r="D149" s="14">
        <f t="shared" si="10"/>
        <v>609792.49628284387</v>
      </c>
      <c r="E149" s="14">
        <f t="shared" si="11"/>
        <v>33639.650232407308</v>
      </c>
      <c r="F149" s="14">
        <f t="shared" si="8"/>
        <v>49042.599682233493</v>
      </c>
      <c r="H149" s="14" cm="1">
        <f t="array" ref="H149:K149">MMULT($C148:$F148,P_Matrix)</f>
        <v>713649.10999392439</v>
      </c>
      <c r="I149" s="14">
        <v>592985.46340679924</v>
      </c>
      <c r="J149" s="14">
        <v>33639.650232407308</v>
      </c>
      <c r="K149" s="14">
        <v>97837.657376692048</v>
      </c>
      <c r="M149" s="12">
        <f>MAX((Inputs!F$25*POWER(1+(Inputs!$C$3-(Inputs!$C$3*(('Steady State'!$A149-1)/Inputs!$C$4))),'Steady State'!$A149-1)),M148)</f>
        <v>39216.410044104116</v>
      </c>
      <c r="N149" s="12">
        <f>MAX((Inputs!G$25*POWER(1+(Inputs!$C$3-(Inputs!$C$3*(('Steady State'!$A149-1)/Inputs!$C$4))),'Steady State'!$A149-1)),N148)</f>
        <v>16807.032876044621</v>
      </c>
      <c r="O149" s="12">
        <v>0</v>
      </c>
      <c r="P149" s="12">
        <v>0</v>
      </c>
    </row>
    <row r="150" spans="1:16" x14ac:dyDescent="0.35">
      <c r="A150">
        <v>148</v>
      </c>
      <c r="C150" s="14">
        <f t="shared" si="9"/>
        <v>756534.41179227945</v>
      </c>
      <c r="D150" s="14">
        <f t="shared" si="10"/>
        <v>612918.84993985272</v>
      </c>
      <c r="E150" s="14">
        <f t="shared" si="11"/>
        <v>33810.370302653108</v>
      </c>
      <c r="F150" s="14">
        <f t="shared" si="8"/>
        <v>49289.65304772801</v>
      </c>
      <c r="H150" s="14" cm="1">
        <f t="array" ref="H150:K150">MMULT($C149:$F149,P_Matrix)</f>
        <v>717155.47882181592</v>
      </c>
      <c r="I150" s="14">
        <v>596042.16438108264</v>
      </c>
      <c r="J150" s="14">
        <v>33810.370302653108</v>
      </c>
      <c r="K150" s="14">
        <v>98332.252729961503</v>
      </c>
      <c r="M150" s="12">
        <f>MAX((Inputs!F$25*POWER(1+(Inputs!$C$3-(Inputs!$C$3*(('Steady State'!$A150-1)/Inputs!$C$4))),'Steady State'!$A150-1)),M149)</f>
        <v>39378.932970463487</v>
      </c>
      <c r="N150" s="12">
        <f>MAX((Inputs!G$25*POWER(1+(Inputs!$C$3-(Inputs!$C$3*(('Steady State'!$A150-1)/Inputs!$C$4))),'Steady State'!$A150-1)),N149)</f>
        <v>16876.685558770067</v>
      </c>
      <c r="O150" s="12">
        <v>0</v>
      </c>
      <c r="P150" s="12">
        <v>0</v>
      </c>
    </row>
    <row r="151" spans="1:16" x14ac:dyDescent="0.35">
      <c r="A151">
        <v>149</v>
      </c>
      <c r="C151" s="14">
        <f t="shared" si="9"/>
        <v>760193.12919011386</v>
      </c>
      <c r="D151" s="14">
        <f t="shared" si="10"/>
        <v>616040.0670119985</v>
      </c>
      <c r="E151" s="14">
        <f t="shared" si="11"/>
        <v>33980.754798913185</v>
      </c>
      <c r="F151" s="14">
        <f t="shared" si="8"/>
        <v>49536.190427627233</v>
      </c>
      <c r="H151" s="14" cm="1">
        <f t="array" ref="H151:K151">MMULT($C150:$F150,P_Matrix)</f>
        <v>720652.57261440647</v>
      </c>
      <c r="I151" s="14">
        <v>599094.11419383821</v>
      </c>
      <c r="J151" s="14">
        <v>33980.754798913185</v>
      </c>
      <c r="K151" s="14">
        <v>98825.843475355243</v>
      </c>
      <c r="M151" s="12">
        <f>MAX((Inputs!F$25*POWER(1+(Inputs!$C$3-(Inputs!$C$3*(('Steady State'!$A151-1)/Inputs!$C$4))),'Steady State'!$A151-1)),M150)</f>
        <v>39540.556575707371</v>
      </c>
      <c r="N151" s="12">
        <f>MAX((Inputs!G$25*POWER(1+(Inputs!$C$3-(Inputs!$C$3*(('Steady State'!$A151-1)/Inputs!$C$4))),'Steady State'!$A151-1)),N150)</f>
        <v>16945.952818160302</v>
      </c>
      <c r="O151" s="12">
        <v>0</v>
      </c>
      <c r="P151" s="12">
        <v>0</v>
      </c>
    </row>
    <row r="152" spans="1:16" x14ac:dyDescent="0.35">
      <c r="A152">
        <v>150</v>
      </c>
      <c r="C152" s="14">
        <f t="shared" si="9"/>
        <v>763841.28182627505</v>
      </c>
      <c r="D152" s="14">
        <f t="shared" si="10"/>
        <v>619155.79151552811</v>
      </c>
      <c r="E152" s="14">
        <f t="shared" si="11"/>
        <v>34150.784841369037</v>
      </c>
      <c r="F152" s="14">
        <f t="shared" si="8"/>
        <v>49782.184585791671</v>
      </c>
      <c r="H152" s="14" cm="1">
        <f t="array" ref="H152:K152">MMULT($C151:$F151,P_Matrix)</f>
        <v>724140.01758871833</v>
      </c>
      <c r="I152" s="14">
        <v>602140.96398514661</v>
      </c>
      <c r="J152" s="14">
        <v>34150.784841369037</v>
      </c>
      <c r="K152" s="14">
        <v>99318.375013418903</v>
      </c>
      <c r="M152" s="12">
        <f>MAX((Inputs!F$25*POWER(1+(Inputs!$C$3-(Inputs!$C$3*(('Steady State'!$A152-1)/Inputs!$C$4))),'Steady State'!$A152-1)),M151)</f>
        <v>39701.264237556752</v>
      </c>
      <c r="N152" s="12">
        <f>MAX((Inputs!G$25*POWER(1+(Inputs!$C$3-(Inputs!$C$3*(('Steady State'!$A152-1)/Inputs!$C$4))),'Steady State'!$A152-1)),N151)</f>
        <v>17014.827530381466</v>
      </c>
      <c r="O152" s="12">
        <v>0</v>
      </c>
      <c r="P152" s="12">
        <v>0</v>
      </c>
    </row>
    <row r="153" spans="1:16" x14ac:dyDescent="0.35">
      <c r="A153">
        <v>151</v>
      </c>
      <c r="C153" s="14">
        <f t="shared" si="9"/>
        <v>767478.48069077567</v>
      </c>
      <c r="D153" s="14">
        <f t="shared" si="10"/>
        <v>622265.66940753919</v>
      </c>
      <c r="E153" s="14">
        <f t="shared" si="11"/>
        <v>34320.441638239456</v>
      </c>
      <c r="F153" s="14">
        <f t="shared" si="8"/>
        <v>50027.608410596345</v>
      </c>
      <c r="H153" s="14" cm="1">
        <f t="array" ref="H153:K153">MMULT($C152:$F152,P_Matrix)</f>
        <v>727617.44131599076</v>
      </c>
      <c r="I153" s="14">
        <v>605182.36681834562</v>
      </c>
      <c r="J153" s="14">
        <v>34320.441638239456</v>
      </c>
      <c r="K153" s="14">
        <v>99809.792996388016</v>
      </c>
      <c r="M153" s="12">
        <f>MAX((Inputs!F$25*POWER(1+(Inputs!$C$3-(Inputs!$C$3*(('Steady State'!$A153-1)/Inputs!$C$4))),'Steady State'!$A153-1)),M152)</f>
        <v>39861.039374784894</v>
      </c>
      <c r="N153" s="12">
        <f>MAX((Inputs!G$25*POWER(1+(Inputs!$C$3-(Inputs!$C$3*(('Steady State'!$A153-1)/Inputs!$C$4))),'Steady State'!$A153-1)),N152)</f>
        <v>17083.302589193525</v>
      </c>
      <c r="O153" s="12">
        <v>0</v>
      </c>
      <c r="P153" s="12">
        <v>0</v>
      </c>
    </row>
    <row r="154" spans="1:16" x14ac:dyDescent="0.35">
      <c r="A154">
        <v>152</v>
      </c>
      <c r="C154" s="14">
        <f t="shared" si="9"/>
        <v>771104.33815727499</v>
      </c>
      <c r="D154" s="14">
        <f t="shared" si="10"/>
        <v>625369.34854005254</v>
      </c>
      <c r="E154" s="14">
        <f t="shared" si="11"/>
        <v>34489.706483926828</v>
      </c>
      <c r="F154" s="14">
        <f t="shared" si="8"/>
        <v>50272.434912509307</v>
      </c>
      <c r="H154" s="14" cm="1">
        <f t="array" ref="H154:K154">MMULT($C153:$F153,P_Matrix)</f>
        <v>731084.4727072285</v>
      </c>
      <c r="I154" s="14">
        <v>608217.97763288976</v>
      </c>
      <c r="J154" s="14">
        <v>34489.706483926828</v>
      </c>
      <c r="K154" s="14">
        <v>100300.04332310565</v>
      </c>
      <c r="M154" s="12">
        <f>MAX((Inputs!F$25*POWER(1+(Inputs!$C$3-(Inputs!$C$3*(('Steady State'!$A154-1)/Inputs!$C$4))),'Steady State'!$A154-1)),M153)</f>
        <v>40019.865450046476</v>
      </c>
      <c r="N154" s="12">
        <f>MAX((Inputs!G$25*POWER(1+(Inputs!$C$3-(Inputs!$C$3*(('Steady State'!$A154-1)/Inputs!$C$4))),'Steady State'!$A154-1)),N153)</f>
        <v>17151.370907162775</v>
      </c>
      <c r="O154" s="12">
        <v>0</v>
      </c>
      <c r="P154" s="12">
        <v>0</v>
      </c>
    </row>
    <row r="155" spans="1:16" x14ac:dyDescent="0.35">
      <c r="A155">
        <v>153</v>
      </c>
      <c r="C155" s="14">
        <f t="shared" si="9"/>
        <v>774718.46797431901</v>
      </c>
      <c r="D155" s="14">
        <f t="shared" si="10"/>
        <v>628466.47861725779</v>
      </c>
      <c r="E155" s="14">
        <f t="shared" si="11"/>
        <v>34658.560757329367</v>
      </c>
      <c r="F155" s="14">
        <f t="shared" si="8"/>
        <v>50516.637221901539</v>
      </c>
      <c r="H155" s="14" cm="1">
        <f t="array" ref="H155:K155">MMULT($C154:$F154,P_Matrix)</f>
        <v>734540.74200163165</v>
      </c>
      <c r="I155" s="14">
        <v>611247.45320039173</v>
      </c>
      <c r="J155" s="14">
        <v>34658.560757329367</v>
      </c>
      <c r="K155" s="14">
        <v>100789.07213441085</v>
      </c>
      <c r="M155" s="12">
        <f>MAX((Inputs!F$25*POWER(1+(Inputs!$C$3-(Inputs!$C$3*(('Steady State'!$A155-1)/Inputs!$C$4))),'Steady State'!$A155-1)),M154)</f>
        <v>40177.725972687367</v>
      </c>
      <c r="N155" s="12">
        <f>MAX((Inputs!G$25*POWER(1+(Inputs!$C$3-(Inputs!$C$3*(('Steady State'!$A155-1)/Inputs!$C$4))),'Steady State'!$A155-1)),N154)</f>
        <v>17219.025416866014</v>
      </c>
      <c r="O155" s="12">
        <v>0</v>
      </c>
      <c r="P155" s="12">
        <v>0</v>
      </c>
    </row>
    <row r="156" spans="1:16" x14ac:dyDescent="0.35">
      <c r="A156">
        <v>154</v>
      </c>
      <c r="C156" s="14">
        <f t="shared" si="9"/>
        <v>778320.48525933619</v>
      </c>
      <c r="D156" s="14">
        <f t="shared" si="10"/>
        <v>631556.71115584951</v>
      </c>
      <c r="E156" s="14">
        <f t="shared" si="11"/>
        <v>34826.985920313389</v>
      </c>
      <c r="F156" s="14">
        <f t="shared" si="8"/>
        <v>50760.188587079647</v>
      </c>
      <c r="H156" s="14" cm="1">
        <f t="array" ref="H156:K156">MMULT($C155:$F155,P_Matrix)</f>
        <v>737985.88075776538</v>
      </c>
      <c r="I156" s="14">
        <v>614270.45208374772</v>
      </c>
      <c r="J156" s="14">
        <v>34826.985920313389</v>
      </c>
      <c r="K156" s="14">
        <v>101276.82580898119</v>
      </c>
      <c r="M156" s="12">
        <f>MAX((Inputs!F$25*POWER(1+(Inputs!$C$3-(Inputs!$C$3*(('Steady State'!$A156-1)/Inputs!$C$4))),'Steady State'!$A156-1)),M155)</f>
        <v>40334.604501570837</v>
      </c>
      <c r="N156" s="12">
        <f>MAX((Inputs!G$25*POWER(1+(Inputs!$C$3-(Inputs!$C$3*(('Steady State'!$A156-1)/Inputs!$C$4))),'Steady State'!$A156-1)),N155)</f>
        <v>17286.259072101788</v>
      </c>
      <c r="O156" s="12">
        <v>0</v>
      </c>
      <c r="P156" s="12">
        <v>0</v>
      </c>
    </row>
    <row r="157" spans="1:16" x14ac:dyDescent="0.35">
      <c r="A157">
        <v>155</v>
      </c>
      <c r="C157" s="14">
        <f t="shared" si="9"/>
        <v>781910.00649527111</v>
      </c>
      <c r="D157" s="14">
        <f t="shared" si="10"/>
        <v>634639.69944836164</v>
      </c>
      <c r="E157" s="14">
        <f t="shared" si="11"/>
        <v>34994.963516339893</v>
      </c>
      <c r="F157" s="14">
        <f t="shared" si="8"/>
        <v>51003.062372533917</v>
      </c>
      <c r="H157" s="14" cm="1">
        <f t="array" ref="H157:K157">MMULT($C156:$F156,P_Matrix)</f>
        <v>741419.52184736589</v>
      </c>
      <c r="I157" s="14">
        <v>617286.63459925947</v>
      </c>
      <c r="J157" s="14">
        <v>34994.963516339893</v>
      </c>
      <c r="K157" s="14">
        <v>101763.25095961356</v>
      </c>
      <c r="M157" s="12">
        <f>MAX((Inputs!F$25*POWER(1+(Inputs!$C$3-(Inputs!$C$3*(('Steady State'!$A157-1)/Inputs!$C$4))),'Steady State'!$A157-1)),M156)</f>
        <v>40490.484647905163</v>
      </c>
      <c r="N157" s="12">
        <f>MAX((Inputs!G$25*POWER(1+(Inputs!$C$3-(Inputs!$C$3*(('Steady State'!$A157-1)/Inputs!$C$4))),'Steady State'!$A157-1)),N156)</f>
        <v>17353.064849102211</v>
      </c>
      <c r="O157" s="12">
        <v>0</v>
      </c>
      <c r="P157" s="12">
        <v>0</v>
      </c>
    </row>
    <row r="158" spans="1:16" x14ac:dyDescent="0.35">
      <c r="A158">
        <v>156</v>
      </c>
      <c r="C158" s="14">
        <f t="shared" si="9"/>
        <v>785486.64952973125</v>
      </c>
      <c r="D158" s="14">
        <f t="shared" si="10"/>
        <v>637715.09852940543</v>
      </c>
      <c r="E158" s="14">
        <f t="shared" si="11"/>
        <v>35162.475169240264</v>
      </c>
      <c r="F158" s="14">
        <f t="shared" si="8"/>
        <v>51245.232057393943</v>
      </c>
      <c r="H158" s="14" cm="1">
        <f t="array" ref="H158:K158">MMULT($C157:$F157,P_Matrix)</f>
        <v>744841.29945167247</v>
      </c>
      <c r="I158" s="14">
        <v>620295.66278166592</v>
      </c>
      <c r="J158" s="14">
        <v>35162.475169240264</v>
      </c>
      <c r="K158" s="14">
        <v>102248.29442992786</v>
      </c>
      <c r="M158" s="12">
        <f>MAX((Inputs!F$25*POWER(1+(Inputs!$C$3-(Inputs!$C$3*(('Steady State'!$A158-1)/Inputs!$C$4))),'Steady State'!$A158-1)),M157)</f>
        <v>40645.350078058822</v>
      </c>
      <c r="N158" s="12">
        <f>MAX((Inputs!G$25*POWER(1+(Inputs!$C$3-(Inputs!$C$3*(('Steady State'!$A158-1)/Inputs!$C$4))),'Steady State'!$A158-1)),N157)</f>
        <v>17419.435747739495</v>
      </c>
      <c r="O158" s="12">
        <v>0</v>
      </c>
      <c r="P158" s="12">
        <v>0</v>
      </c>
    </row>
    <row r="159" spans="1:16" x14ac:dyDescent="0.35">
      <c r="A159">
        <v>157</v>
      </c>
      <c r="C159" s="14">
        <f t="shared" si="9"/>
        <v>789050.03357656184</v>
      </c>
      <c r="D159" s="14">
        <f t="shared" si="10"/>
        <v>640782.56514473294</v>
      </c>
      <c r="E159" s="14">
        <f t="shared" si="11"/>
        <v>35329.502582135523</v>
      </c>
      <c r="F159" s="14">
        <f t="shared" si="8"/>
        <v>51486.67123408417</v>
      </c>
      <c r="H159" s="14" cm="1">
        <f t="array" ref="H159:K159">MMULT($C158:$F158,P_Matrix)</f>
        <v>748250.84906016546</v>
      </c>
      <c r="I159" s="14">
        <v>623297.20035199169</v>
      </c>
      <c r="J159" s="14">
        <v>35329.502582135523</v>
      </c>
      <c r="K159" s="14">
        <v>102731.90329147811</v>
      </c>
      <c r="M159" s="12">
        <f>MAX((Inputs!F$25*POWER(1+(Inputs!$C$3-(Inputs!$C$3*(('Steady State'!$A159-1)/Inputs!$C$4))),'Steady State'!$A159-1)),M158)</f>
        <v>40799.18451639633</v>
      </c>
      <c r="N159" s="12">
        <f>MAX((Inputs!G$25*POWER(1+(Inputs!$C$3-(Inputs!$C$3*(('Steady State'!$A159-1)/Inputs!$C$4))),'Steady State'!$A159-1)),N158)</f>
        <v>17485.364792741286</v>
      </c>
      <c r="O159" s="12">
        <v>0</v>
      </c>
      <c r="P159" s="12">
        <v>0</v>
      </c>
    </row>
    <row r="160" spans="1:16" x14ac:dyDescent="0.35">
      <c r="A160">
        <v>158</v>
      </c>
      <c r="C160" s="14">
        <f t="shared" si="9"/>
        <v>792599.7792197204</v>
      </c>
      <c r="D160" s="14">
        <f t="shared" si="10"/>
        <v>643841.75772303063</v>
      </c>
      <c r="E160" s="14">
        <f t="shared" si="11"/>
        <v>35496.027536494264</v>
      </c>
      <c r="F160" s="14">
        <f t="shared" si="8"/>
        <v>51727.353607172721</v>
      </c>
      <c r="H160" s="14" cm="1">
        <f t="array" ref="H160:K160">MMULT($C159:$F159,P_Matrix)</f>
        <v>751647.80747162888</v>
      </c>
      <c r="I160" s="14">
        <v>626290.91268813424</v>
      </c>
      <c r="J160" s="14">
        <v>35496.027536494264</v>
      </c>
      <c r="K160" s="14">
        <v>103214.02484125689</v>
      </c>
      <c r="M160" s="12">
        <f>MAX((Inputs!F$25*POWER(1+(Inputs!$C$3-(Inputs!$C$3*(('Steady State'!$A160-1)/Inputs!$C$4))),'Steady State'!$A160-1)),M159)</f>
        <v>40951.971748091484</v>
      </c>
      <c r="N160" s="12">
        <f>MAX((Inputs!G$25*POWER(1+(Inputs!$C$3-(Inputs!$C$3*(('Steady State'!$A160-1)/Inputs!$C$4))),'Steady State'!$A160-1)),N159)</f>
        <v>17550.845034896349</v>
      </c>
      <c r="O160" s="12">
        <v>0</v>
      </c>
      <c r="P160" s="12">
        <v>0</v>
      </c>
    </row>
    <row r="161" spans="1:16" x14ac:dyDescent="0.35">
      <c r="A161">
        <v>159</v>
      </c>
      <c r="C161" s="14">
        <f t="shared" si="9"/>
        <v>796135.50841937307</v>
      </c>
      <c r="D161" s="14">
        <f t="shared" si="10"/>
        <v>646892.33635036531</v>
      </c>
      <c r="E161" s="14">
        <f t="shared" si="11"/>
        <v>35662.03189132407</v>
      </c>
      <c r="F161" s="14">
        <f t="shared" si="8"/>
        <v>51967.252992406087</v>
      </c>
      <c r="H161" s="14" cm="1">
        <f t="array" ref="H161:K161">MMULT($C160:$F160,P_Matrix)</f>
        <v>755031.81279741682</v>
      </c>
      <c r="I161" s="14">
        <v>629276.46679809829</v>
      </c>
      <c r="J161" s="14">
        <v>35662.03189132407</v>
      </c>
      <c r="K161" s="14">
        <v>103694.60659957881</v>
      </c>
      <c r="M161" s="12">
        <f>MAX((Inputs!F$25*POWER(1+(Inputs!$C$3-(Inputs!$C$3*(('Steady State'!$A161-1)/Inputs!$C$4))),'Steady State'!$A161-1)),M160)</f>
        <v>41103.695621956256</v>
      </c>
      <c r="N161" s="12">
        <f>MAX((Inputs!G$25*POWER(1+(Inputs!$C$3-(Inputs!$C$3*(('Steady State'!$A161-1)/Inputs!$C$4))),'Steady State'!$A161-1)),N160)</f>
        <v>17615.869552266966</v>
      </c>
      <c r="O161" s="12">
        <v>0</v>
      </c>
      <c r="P161" s="12">
        <v>0</v>
      </c>
    </row>
    <row r="162" spans="1:16" x14ac:dyDescent="0.35">
      <c r="A162">
        <v>160</v>
      </c>
      <c r="C162" s="14">
        <f t="shared" si="9"/>
        <v>799656.84452011134</v>
      </c>
      <c r="D162" s="14">
        <f t="shared" si="10"/>
        <v>649933.96274719993</v>
      </c>
      <c r="E162" s="14">
        <f t="shared" si="11"/>
        <v>35827.497582491829</v>
      </c>
      <c r="F162" s="14">
        <f t="shared" si="8"/>
        <v>52206.343315923172</v>
      </c>
      <c r="H162" s="14" cm="1">
        <f t="array" ref="H162:K162">MMULT($C161:$F161,P_Matrix)</f>
        <v>758402.5044668467</v>
      </c>
      <c r="I162" s="14">
        <v>632253.53129580081</v>
      </c>
      <c r="J162" s="14">
        <v>35827.497582491829</v>
      </c>
      <c r="K162" s="14">
        <v>104173.59630832926</v>
      </c>
      <c r="M162" s="12">
        <f>MAX((Inputs!F$25*POWER(1+(Inputs!$C$3-(Inputs!$C$3*(('Steady State'!$A162-1)/Inputs!$C$4))),'Steady State'!$A162-1)),M161)</f>
        <v>41254.340053264619</v>
      </c>
      <c r="N162" s="12">
        <f>MAX((Inputs!G$25*POWER(1+(Inputs!$C$3-(Inputs!$C$3*(('Steady State'!$A162-1)/Inputs!$C$4))),'Steady State'!$A162-1)),N161)</f>
        <v>17680.431451399123</v>
      </c>
      <c r="O162" s="12">
        <v>0</v>
      </c>
      <c r="P162" s="12">
        <v>0</v>
      </c>
    </row>
    <row r="163" spans="1:16" x14ac:dyDescent="0.35">
      <c r="A163">
        <v>161</v>
      </c>
      <c r="C163" s="14">
        <f t="shared" si="9"/>
        <v>803163.4122611878</v>
      </c>
      <c r="D163" s="14">
        <f t="shared" si="10"/>
        <v>652966.30024789332</v>
      </c>
      <c r="E163" s="14">
        <f t="shared" si="11"/>
        <v>35992.406622168208</v>
      </c>
      <c r="F163" s="14">
        <f t="shared" si="8"/>
        <v>52444.598613642294</v>
      </c>
      <c r="H163" s="14" cm="1">
        <f t="array" ref="H163:K163">MMULT($C162:$F162,P_Matrix)</f>
        <v>761759.5232346257</v>
      </c>
      <c r="I163" s="14">
        <v>635221.77637936664</v>
      </c>
      <c r="J163" s="14">
        <v>35992.406622168208</v>
      </c>
      <c r="K163" s="14">
        <v>104650.94192956547</v>
      </c>
      <c r="M163" s="12">
        <f>MAX((Inputs!F$25*POWER(1+(Inputs!$C$3-(Inputs!$C$3*(('Steady State'!$A163-1)/Inputs!$C$4))),'Steady State'!$A163-1)),M162)</f>
        <v>41403.889026562145</v>
      </c>
      <c r="N163" s="12">
        <f>MAX((Inputs!G$25*POWER(1+(Inputs!$C$3-(Inputs!$C$3*(('Steady State'!$A163-1)/Inputs!$C$4))),'Steady State'!$A163-1)),N162)</f>
        <v>17744.52386852663</v>
      </c>
      <c r="O163" s="12">
        <v>0</v>
      </c>
      <c r="P163" s="12">
        <v>0</v>
      </c>
    </row>
    <row r="164" spans="1:16" x14ac:dyDescent="0.35">
      <c r="A164">
        <v>162</v>
      </c>
      <c r="C164" s="14">
        <f t="shared" si="9"/>
        <v>806654.83778870327</v>
      </c>
      <c r="D164" s="14">
        <f t="shared" si="10"/>
        <v>655989.01378261275</v>
      </c>
      <c r="E164" s="14">
        <f t="shared" si="11"/>
        <v>36156.741098391736</v>
      </c>
      <c r="F164" s="14">
        <f t="shared" si="8"/>
        <v>52681.99303081449</v>
      </c>
      <c r="H164" s="14" cm="1">
        <f t="array" ref="H164:K164">MMULT($C163:$F163,P_Matrix)</f>
        <v>765102.51119021222</v>
      </c>
      <c r="I164" s="14">
        <v>638180.87381183088</v>
      </c>
      <c r="J164" s="14">
        <v>36156.741098391736</v>
      </c>
      <c r="K164" s="14">
        <v>105126.59164445678</v>
      </c>
      <c r="M164" s="12">
        <f>MAX((Inputs!F$25*POWER(1+(Inputs!$C$3-(Inputs!$C$3*(('Steady State'!$A164-1)/Inputs!$C$4))),'Steady State'!$A164-1)),M163)</f>
        <v>41552.326598491054</v>
      </c>
      <c r="N164" s="12">
        <f>MAX((Inputs!G$25*POWER(1+(Inputs!$C$3-(Inputs!$C$3*(('Steady State'!$A164-1)/Inputs!$C$4))),'Steady State'!$A164-1)),N163)</f>
        <v>17808.139970781878</v>
      </c>
      <c r="O164" s="12">
        <v>0</v>
      </c>
      <c r="P164" s="12">
        <v>0</v>
      </c>
    </row>
    <row r="165" spans="1:16" x14ac:dyDescent="0.35">
      <c r="A165">
        <v>163</v>
      </c>
      <c r="C165" s="14">
        <f t="shared" si="9"/>
        <v>810130.74866964063</v>
      </c>
      <c r="D165" s="14">
        <f t="shared" si="10"/>
        <v>659001.76986157324</v>
      </c>
      <c r="E165" s="14">
        <f t="shared" si="11"/>
        <v>36320.483174748202</v>
      </c>
      <c r="F165" s="14">
        <f t="shared" si="8"/>
        <v>52918.50082173742</v>
      </c>
      <c r="H165" s="14" cm="1">
        <f t="array" ref="H165:K165">MMULT($C164:$F164,P_Matrix)</f>
        <v>768431.11176904629</v>
      </c>
      <c r="I165" s="14">
        <v>641130.49690417573</v>
      </c>
      <c r="J165" s="14">
        <v>36320.483174748202</v>
      </c>
      <c r="K165" s="14">
        <v>105600.49385255191</v>
      </c>
      <c r="M165" s="12">
        <f>MAX((Inputs!F$25*POWER(1+(Inputs!$C$3-(Inputs!$C$3*(('Steady State'!$A165-1)/Inputs!$C$4))),'Steady State'!$A165-1)),M164)</f>
        <v>41699.63690059432</v>
      </c>
      <c r="N165" s="12">
        <f>MAX((Inputs!G$25*POWER(1+(Inputs!$C$3-(Inputs!$C$3*(('Steady State'!$A165-1)/Inputs!$C$4))),'Steady State'!$A165-1)),N164)</f>
        <v>17871.272957397563</v>
      </c>
      <c r="O165" s="12">
        <v>0</v>
      </c>
      <c r="P165" s="12">
        <v>0</v>
      </c>
    </row>
    <row r="166" spans="1:16" x14ac:dyDescent="0.35">
      <c r="A166">
        <v>164</v>
      </c>
      <c r="C166" s="14">
        <f t="shared" si="9"/>
        <v>813590.77390767599</v>
      </c>
      <c r="D166" s="14">
        <f t="shared" si="10"/>
        <v>662004.23656153469</v>
      </c>
      <c r="E166" s="14">
        <f t="shared" si="11"/>
        <v>36483.61509016106</v>
      </c>
      <c r="F166" s="14">
        <f t="shared" si="8"/>
        <v>53154.096349623469</v>
      </c>
      <c r="H166" s="14" cm="1">
        <f t="array" ref="H166:K166">MMULT($C165:$F165,P_Matrix)</f>
        <v>771744.96976555267</v>
      </c>
      <c r="I166" s="14">
        <v>644070.32050062472</v>
      </c>
      <c r="J166" s="14">
        <v>36483.61509016106</v>
      </c>
      <c r="K166" s="14">
        <v>106072.59717136089</v>
      </c>
      <c r="M166" s="12">
        <f>MAX((Inputs!F$25*POWER(1+(Inputs!$C$3-(Inputs!$C$3*(('Steady State'!$A166-1)/Inputs!$C$4))),'Steady State'!$A166-1)),M165)</f>
        <v>41845.804142123292</v>
      </c>
      <c r="N166" s="12">
        <f>MAX((Inputs!G$25*POWER(1+(Inputs!$C$3-(Inputs!$C$3*(('Steady State'!$A166-1)/Inputs!$C$4))),'Steady State'!$A166-1)),N165)</f>
        <v>17933.916060909982</v>
      </c>
      <c r="O166" s="12">
        <v>0</v>
      </c>
      <c r="P166" s="12">
        <v>0</v>
      </c>
    </row>
    <row r="167" spans="1:16" x14ac:dyDescent="0.35">
      <c r="A167">
        <v>165</v>
      </c>
      <c r="C167" s="14">
        <f t="shared" si="9"/>
        <v>817034.54396069574</v>
      </c>
      <c r="D167" s="14">
        <f t="shared" si="10"/>
        <v>664996.0835144833</v>
      </c>
      <c r="E167" s="14">
        <f t="shared" si="11"/>
        <v>36646.119158788744</v>
      </c>
      <c r="F167" s="14">
        <f t="shared" si="8"/>
        <v>53388.754086616587</v>
      </c>
      <c r="H167" s="14" cm="1">
        <f t="array" ref="H167:K167">MMULT($C166:$F166,P_Matrix)</f>
        <v>775043.73134784692</v>
      </c>
      <c r="I167" s="14">
        <v>647000.02096611948</v>
      </c>
      <c r="J167" s="14">
        <v>36646.119158788744</v>
      </c>
      <c r="K167" s="14">
        <v>106542.85043624006</v>
      </c>
      <c r="M167" s="12">
        <f>MAX((Inputs!F$25*POWER(1+(Inputs!$C$3-(Inputs!$C$3*(('Steady State'!$A167-1)/Inputs!$C$4))),'Steady State'!$A167-1)),M166)</f>
        <v>41990.812612848829</v>
      </c>
      <c r="N167" s="12">
        <f>MAX((Inputs!G$25*POWER(1+(Inputs!$C$3-(Inputs!$C$3*(('Steady State'!$A167-1)/Inputs!$C$4))),'Steady State'!$A167-1)),N166)</f>
        <v>17996.062548363785</v>
      </c>
      <c r="O167" s="12">
        <v>0</v>
      </c>
      <c r="P167" s="12">
        <v>0</v>
      </c>
    </row>
    <row r="168" spans="1:16" x14ac:dyDescent="0.35">
      <c r="A168">
        <v>166</v>
      </c>
      <c r="C168" s="14">
        <f t="shared" si="9"/>
        <v>820461.69075991679</v>
      </c>
      <c r="D168" s="14">
        <f t="shared" si="10"/>
        <v>667976.9818984149</v>
      </c>
      <c r="E168" s="14">
        <f t="shared" si="11"/>
        <v>36807.977770025042</v>
      </c>
      <c r="F168" s="14">
        <f t="shared" si="8"/>
        <v>53622.448613952562</v>
      </c>
      <c r="H168" s="14" cm="1">
        <f t="array" ref="H168:K168">MMULT($C167:$F167,P_Matrix)</f>
        <v>778327.04407407762</v>
      </c>
      <c r="I168" s="14">
        <v>649919.27617591247</v>
      </c>
      <c r="J168" s="14">
        <v>36807.977770025042</v>
      </c>
      <c r="K168" s="14">
        <v>107011.20270056915</v>
      </c>
      <c r="M168" s="12">
        <f>MAX((Inputs!F$25*POWER(1+(Inputs!$C$3-(Inputs!$C$3*(('Steady State'!$A168-1)/Inputs!$C$4))),'Steady State'!$A168-1)),M167)</f>
        <v>42134.646685839143</v>
      </c>
      <c r="N168" s="12">
        <f>MAX((Inputs!G$25*POWER(1+(Inputs!$C$3-(Inputs!$C$3*(('Steady State'!$A168-1)/Inputs!$C$4))),'Steady State'!$A168-1)),N167)</f>
        <v>18057.705722502491</v>
      </c>
      <c r="O168" s="12">
        <v>0</v>
      </c>
      <c r="P168" s="12">
        <v>0</v>
      </c>
    </row>
    <row r="169" spans="1:16" x14ac:dyDescent="0.35">
      <c r="A169">
        <v>167</v>
      </c>
      <c r="C169" s="14">
        <f t="shared" si="9"/>
        <v>823871.84773057455</v>
      </c>
      <c r="D169" s="14">
        <f t="shared" si="10"/>
        <v>670946.60443016479</v>
      </c>
      <c r="E169" s="14">
        <f t="shared" si="11"/>
        <v>36969.173388598341</v>
      </c>
      <c r="F169" s="14">
        <f t="shared" si="8"/>
        <v>53855.154622256196</v>
      </c>
      <c r="H169" s="14" cm="1">
        <f t="array" ref="H169:K169">MMULT($C168:$F168,P_Matrix)</f>
        <v>781594.55691030854</v>
      </c>
      <c r="I169" s="14">
        <v>652827.76550719363</v>
      </c>
      <c r="J169" s="14">
        <v>36969.173388598341</v>
      </c>
      <c r="K169" s="14">
        <v>107477.60323620876</v>
      </c>
      <c r="M169" s="12">
        <f>MAX((Inputs!F$25*POWER(1+(Inputs!$C$3-(Inputs!$C$3*(('Steady State'!$A169-1)/Inputs!$C$4))),'Steady State'!$A169-1)),M168)</f>
        <v>42277.290820266004</v>
      </c>
      <c r="N169" s="12">
        <f>MAX((Inputs!G$25*POWER(1+(Inputs!$C$3-(Inputs!$C$3*(('Steady State'!$A169-1)/Inputs!$C$4))),'Steady State'!$A169-1)),N168)</f>
        <v>18118.838922971147</v>
      </c>
      <c r="O169" s="12">
        <v>0</v>
      </c>
      <c r="P169" s="12">
        <v>0</v>
      </c>
    </row>
    <row r="170" spans="1:16" x14ac:dyDescent="0.35">
      <c r="A170">
        <v>168</v>
      </c>
      <c r="C170" s="14">
        <f t="shared" si="9"/>
        <v>827264.64981407835</v>
      </c>
      <c r="D170" s="14">
        <f t="shared" si="10"/>
        <v>673904.62536020216</v>
      </c>
      <c r="E170" s="14">
        <f t="shared" si="11"/>
        <v>37129.688554766399</v>
      </c>
      <c r="F170" s="14">
        <f t="shared" si="8"/>
        <v>54086.846911971756</v>
      </c>
      <c r="H170" s="14" cm="1">
        <f t="array" ref="H170:K170">MMULT($C169:$F169,P_Matrix)</f>
        <v>784845.92024990148</v>
      </c>
      <c r="I170" s="14">
        <v>655725.16983269784</v>
      </c>
      <c r="J170" s="14">
        <v>37129.688554766399</v>
      </c>
      <c r="K170" s="14">
        <v>107942.00153422795</v>
      </c>
      <c r="M170" s="12">
        <f>MAX((Inputs!F$25*POWER(1+(Inputs!$C$3-(Inputs!$C$3*(('Steady State'!$A170-1)/Inputs!$C$4))),'Steady State'!$A170-1)),M169)</f>
        <v>42418.729564176836</v>
      </c>
      <c r="N170" s="12">
        <f>MAX((Inputs!G$25*POWER(1+(Inputs!$C$3-(Inputs!$C$3*(('Steady State'!$A170-1)/Inputs!$C$4))),'Steady State'!$A170-1)),N169)</f>
        <v>18179.455527504357</v>
      </c>
      <c r="O170" s="12">
        <v>0</v>
      </c>
      <c r="P170" s="12">
        <v>0</v>
      </c>
    </row>
    <row r="171" spans="1:16" x14ac:dyDescent="0.35">
      <c r="A171">
        <v>169</v>
      </c>
      <c r="C171" s="14">
        <f t="shared" si="9"/>
        <v>830639.73349157791</v>
      </c>
      <c r="D171" s="14">
        <f t="shared" si="10"/>
        <v>676850.72046932578</v>
      </c>
      <c r="E171" s="14">
        <f t="shared" si="11"/>
        <v>37289.505884602644</v>
      </c>
      <c r="F171" s="14">
        <f t="shared" si="8"/>
        <v>54317.500393920018</v>
      </c>
      <c r="H171" s="14" cm="1">
        <f t="array" ref="H171:K171">MMULT($C170:$F170,P_Matrix)</f>
        <v>788080.78593431227</v>
      </c>
      <c r="I171" s="14">
        <v>658611.17151621194</v>
      </c>
      <c r="J171" s="14">
        <v>37289.505884602644</v>
      </c>
      <c r="K171" s="14">
        <v>108404.34730589177</v>
      </c>
      <c r="M171" s="12">
        <f>MAX((Inputs!F$25*POWER(1+(Inputs!$C$3-(Inputs!$C$3*(('Steady State'!$A171-1)/Inputs!$C$4))),'Steady State'!$A171-1)),M170)</f>
        <v>42558.947557265674</v>
      </c>
      <c r="N171" s="12">
        <f>MAX((Inputs!G$25*POWER(1+(Inputs!$C$3-(Inputs!$C$3*(('Steady State'!$A171-1)/Inputs!$C$4))),'Steady State'!$A171-1)),N170)</f>
        <v>18239.548953113859</v>
      </c>
      <c r="O171" s="12">
        <v>0</v>
      </c>
      <c r="P171" s="12">
        <v>0</v>
      </c>
    </row>
    <row r="172" spans="1:16" x14ac:dyDescent="0.35">
      <c r="A172">
        <v>170</v>
      </c>
      <c r="C172" s="14">
        <f t="shared" si="9"/>
        <v>833996.73680888594</v>
      </c>
      <c r="D172" s="14">
        <f t="shared" si="10"/>
        <v>679784.56706719939</v>
      </c>
      <c r="E172" s="14">
        <f t="shared" si="11"/>
        <v>37448.608070370625</v>
      </c>
      <c r="F172" s="14">
        <f t="shared" si="8"/>
        <v>54547.09008997777</v>
      </c>
      <c r="H172" s="14" cm="1">
        <f t="array" ref="H172:K172">MMULT($C171:$F171,P_Matrix)</f>
        <v>791298.80727523682</v>
      </c>
      <c r="I172" s="14">
        <v>661485.45440992119</v>
      </c>
      <c r="J172" s="14">
        <v>37448.608070370625</v>
      </c>
      <c r="K172" s="14">
        <v>108864.59048389779</v>
      </c>
      <c r="M172" s="12">
        <f>MAX((Inputs!F$25*POWER(1+(Inputs!$C$3-(Inputs!$C$3*(('Steady State'!$A172-1)/Inputs!$C$4))),'Steady State'!$A172-1)),M171)</f>
        <v>42697.929533649127</v>
      </c>
      <c r="N172" s="12">
        <f>MAX((Inputs!G$25*POWER(1+(Inputs!$C$3-(Inputs!$C$3*(('Steady State'!$A172-1)/Inputs!$C$4))),'Steady State'!$A172-1)),N171)</f>
        <v>18299.112657278198</v>
      </c>
      <c r="O172" s="12">
        <v>0</v>
      </c>
      <c r="P172" s="12">
        <v>0</v>
      </c>
    </row>
    <row r="173" spans="1:16" x14ac:dyDescent="0.35">
      <c r="A173">
        <v>171</v>
      </c>
      <c r="C173" s="14">
        <f t="shared" si="9"/>
        <v>837335.29940267012</v>
      </c>
      <c r="D173" s="14">
        <f t="shared" si="10"/>
        <v>682705.84399265342</v>
      </c>
      <c r="E173" s="14">
        <f t="shared" si="11"/>
        <v>37606.977880983228</v>
      </c>
      <c r="F173" s="14">
        <f t="shared" si="8"/>
        <v>54775.591133875227</v>
      </c>
      <c r="H173" s="14" cm="1">
        <f t="array" ref="H173:K173">MMULT($C172:$F172,P_Matrix)</f>
        <v>794499.63907806179</v>
      </c>
      <c r="I173" s="14">
        <v>664347.70385353558</v>
      </c>
      <c r="J173" s="14">
        <v>37606.977880983228</v>
      </c>
      <c r="K173" s="14">
        <v>109322.681223853</v>
      </c>
      <c r="M173" s="12">
        <f>MAX((Inputs!F$25*POWER(1+(Inputs!$C$3-(Inputs!$C$3*(('Steady State'!$A173-1)/Inputs!$C$4))),'Steady State'!$A173-1)),M172)</f>
        <v>42835.660324608369</v>
      </c>
      <c r="N173" s="12">
        <f>MAX((Inputs!G$25*POWER(1+(Inputs!$C$3-(Inputs!$C$3*(('Steady State'!$A173-1)/Inputs!$C$4))),'Steady State'!$A173-1)),N172)</f>
        <v>18358.140139117873</v>
      </c>
      <c r="O173" s="12">
        <v>0</v>
      </c>
      <c r="P173" s="12">
        <v>0</v>
      </c>
    </row>
    <row r="174" spans="1:16" x14ac:dyDescent="0.35">
      <c r="A174">
        <v>172</v>
      </c>
      <c r="C174" s="14">
        <f t="shared" si="9"/>
        <v>840655.06252788135</v>
      </c>
      <c r="D174" s="14">
        <f t="shared" si="10"/>
        <v>685614.23161570029</v>
      </c>
      <c r="E174" s="14">
        <f t="shared" si="11"/>
        <v>37764.598162543174</v>
      </c>
      <c r="F174" s="14">
        <f t="shared" si="8"/>
        <v>55002.978772105511</v>
      </c>
      <c r="H174" s="14" cm="1">
        <f t="array" ref="H174:K174">MMULT($C173:$F173,P_Matrix)</f>
        <v>797682.93766653468</v>
      </c>
      <c r="I174" s="14">
        <v>667197.60667512321</v>
      </c>
      <c r="J174" s="14">
        <v>37764.598162543174</v>
      </c>
      <c r="K174" s="14">
        <v>109778.56990598074</v>
      </c>
      <c r="M174" s="12">
        <f>MAX((Inputs!F$25*POWER(1+(Inputs!$C$3-(Inputs!$C$3*(('Steady State'!$A174-1)/Inputs!$C$4))),'Steady State'!$A174-1)),M173)</f>
        <v>42972.124861346652</v>
      </c>
      <c r="N174" s="12">
        <f>MAX((Inputs!G$25*POWER(1+(Inputs!$C$3-(Inputs!$C$3*(('Steady State'!$A174-1)/Inputs!$C$4))),'Steady State'!$A174-1)),N173)</f>
        <v>18416.624940577138</v>
      </c>
      <c r="O174" s="12">
        <v>0</v>
      </c>
      <c r="P174" s="12">
        <v>0</v>
      </c>
    </row>
    <row r="175" spans="1:16" x14ac:dyDescent="0.35">
      <c r="A175">
        <v>173</v>
      </c>
      <c r="C175" s="14">
        <f t="shared" si="9"/>
        <v>843955.66908632999</v>
      </c>
      <c r="D175" s="14">
        <f t="shared" si="10"/>
        <v>688509.41184119007</v>
      </c>
      <c r="E175" s="14">
        <f t="shared" si="11"/>
        <v>37921.451838961715</v>
      </c>
      <c r="F175" s="14">
        <f t="shared" si="8"/>
        <v>55229.228364943243</v>
      </c>
      <c r="H175" s="14" cm="1">
        <f t="array" ref="H175:K175">MMULT($C174:$F174,P_Matrix)</f>
        <v>800848.36090861971</v>
      </c>
      <c r="I175" s="14">
        <v>670034.85119359998</v>
      </c>
      <c r="J175" s="14">
        <v>37921.451838961715</v>
      </c>
      <c r="K175" s="14">
        <v>110232.20713704875</v>
      </c>
      <c r="M175" s="12">
        <f>MAX((Inputs!F$25*POWER(1+(Inputs!$C$3-(Inputs!$C$3*(('Steady State'!$A175-1)/Inputs!$C$4))),'Steady State'!$A175-1)),M174)</f>
        <v>43107.308177710307</v>
      </c>
      <c r="N175" s="12">
        <f>MAX((Inputs!G$25*POWER(1+(Inputs!$C$3-(Inputs!$C$3*(('Steady State'!$A175-1)/Inputs!$C$4))),'Steady State'!$A175-1)),N174)</f>
        <v>18474.56064759013</v>
      </c>
      <c r="O175" s="12">
        <v>0</v>
      </c>
      <c r="P175" s="12">
        <v>0</v>
      </c>
    </row>
    <row r="176" spans="1:16" x14ac:dyDescent="0.35">
      <c r="A176">
        <v>174</v>
      </c>
      <c r="C176" s="14">
        <f t="shared" si="9"/>
        <v>847236.76365638431</v>
      </c>
      <c r="D176" s="14">
        <f t="shared" si="10"/>
        <v>691391.06811405928</v>
      </c>
      <c r="E176" s="14">
        <f t="shared" si="11"/>
        <v>38077.521912652228</v>
      </c>
      <c r="F176" s="14">
        <f t="shared" si="8"/>
        <v>55454.315387566028</v>
      </c>
      <c r="H176" s="14" cm="1">
        <f t="array" ref="H176:K176">MMULT($C175:$F175,P_Matrix)</f>
        <v>803995.56824345817</v>
      </c>
      <c r="I176" s="14">
        <v>672859.12722280517</v>
      </c>
      <c r="J176" s="14">
        <v>38077.521912652228</v>
      </c>
      <c r="K176" s="14">
        <v>110683.54375250927</v>
      </c>
      <c r="M176" s="12">
        <f>MAX((Inputs!F$25*POWER(1+(Inputs!$C$3-(Inputs!$C$3*(('Steady State'!$A176-1)/Inputs!$C$4))),'Steady State'!$A176-1)),M175)</f>
        <v>43241.195412926158</v>
      </c>
      <c r="N176" s="12">
        <f>MAX((Inputs!G$25*POWER(1+(Inputs!$C$3-(Inputs!$C$3*(('Steady State'!$A176-1)/Inputs!$C$4))),'Steady State'!$A176-1)),N175)</f>
        <v>18531.940891254068</v>
      </c>
      <c r="O176" s="12">
        <v>0</v>
      </c>
      <c r="P176" s="12">
        <v>0</v>
      </c>
    </row>
    <row r="177" spans="1:16" x14ac:dyDescent="0.35">
      <c r="A177">
        <v>175</v>
      </c>
      <c r="C177" s="14">
        <f t="shared" si="9"/>
        <v>850497.99252370442</v>
      </c>
      <c r="D177" s="14">
        <f t="shared" si="10"/>
        <v>694258.88542610104</v>
      </c>
      <c r="E177" s="14">
        <f t="shared" si="11"/>
        <v>38232.79146529577</v>
      </c>
      <c r="F177" s="14">
        <f t="shared" si="8"/>
        <v>55678.215431276352</v>
      </c>
      <c r="H177" s="14" cm="1">
        <f t="array" ref="H177:K177">MMULT($C176:$F176,P_Matrix)</f>
        <v>807124.220709407</v>
      </c>
      <c r="I177" s="14">
        <v>675670.12607711647</v>
      </c>
      <c r="J177" s="14">
        <v>38232.79146529577</v>
      </c>
      <c r="K177" s="14">
        <v>111132.53081884238</v>
      </c>
      <c r="M177" s="12">
        <f>MAX((Inputs!F$25*POWER(1+(Inputs!$C$3-(Inputs!$C$3*(('Steady State'!$A177-1)/Inputs!$C$4))),'Steady State'!$A177-1)),M176)</f>
        <v>43373.77181429739</v>
      </c>
      <c r="N177" s="12">
        <f>MAX((Inputs!G$25*POWER(1+(Inputs!$C$3-(Inputs!$C$3*(('Steady State'!$A177-1)/Inputs!$C$4))),'Steady State'!$A177-1)),N176)</f>
        <v>18588.759348984593</v>
      </c>
      <c r="O177" s="12">
        <v>0</v>
      </c>
      <c r="P177" s="12">
        <v>0</v>
      </c>
    </row>
    <row r="178" spans="1:16" x14ac:dyDescent="0.35">
      <c r="A178">
        <v>176</v>
      </c>
      <c r="C178" s="14">
        <f t="shared" si="9"/>
        <v>853739.00371298334</v>
      </c>
      <c r="D178" s="14">
        <f t="shared" si="10"/>
        <v>697112.55032421078</v>
      </c>
      <c r="E178" s="14">
        <f t="shared" si="11"/>
        <v>38387.243658675521</v>
      </c>
      <c r="F178" s="14">
        <f t="shared" si="8"/>
        <v>55900.904204818107</v>
      </c>
      <c r="H178" s="14" cm="1">
        <f t="array" ref="H178:K178">MMULT($C177:$F177,P_Matrix)</f>
        <v>810233.9809730727</v>
      </c>
      <c r="I178" s="14">
        <v>678467.54057853483</v>
      </c>
      <c r="J178" s="14">
        <v>38387.243658675521</v>
      </c>
      <c r="K178" s="14">
        <v>111579.11963609446</v>
      </c>
      <c r="M178" s="12">
        <f>MAX((Inputs!F$25*POWER(1+(Inputs!$C$3-(Inputs!$C$3*(('Steady State'!$A178-1)/Inputs!$C$4))),'Steady State'!$A178-1)),M177)</f>
        <v>43505.022739910673</v>
      </c>
      <c r="N178" s="12">
        <f>MAX((Inputs!G$25*POWER(1+(Inputs!$C$3-(Inputs!$C$3*(('Steady State'!$A178-1)/Inputs!$C$4))),'Steady State'!$A178-1)),N177)</f>
        <v>18645.009745676001</v>
      </c>
      <c r="O178" s="12">
        <v>0</v>
      </c>
      <c r="P178" s="12">
        <v>0</v>
      </c>
    </row>
    <row r="179" spans="1:16" x14ac:dyDescent="0.35">
      <c r="A179">
        <v>177</v>
      </c>
      <c r="C179" s="14">
        <f t="shared" si="9"/>
        <v>856959.44702063536</v>
      </c>
      <c r="D179" s="14">
        <f t="shared" si="10"/>
        <v>699951.75092004554</v>
      </c>
      <c r="E179" s="14">
        <f t="shared" si="11"/>
        <v>38540.861735577251</v>
      </c>
      <c r="F179" s="14">
        <f t="shared" si="8"/>
        <v>56122.357535784708</v>
      </c>
      <c r="H179" s="14" cm="1">
        <f t="array" ref="H179:K179">MMULT($C178:$F178,P_Matrix)</f>
        <v>813324.51335931395</v>
      </c>
      <c r="I179" s="14">
        <v>681251.06506519357</v>
      </c>
      <c r="J179" s="14">
        <v>38540.861735577251</v>
      </c>
      <c r="K179" s="14">
        <v>112023.26174060281</v>
      </c>
      <c r="M179" s="12">
        <f>MAX((Inputs!F$25*POWER(1+(Inputs!$C$3-(Inputs!$C$3*(('Steady State'!$A179-1)/Inputs!$C$4))),'Steady State'!$A179-1)),M178)</f>
        <v>43634.933661321367</v>
      </c>
      <c r="N179" s="12">
        <f>MAX((Inputs!G$25*POWER(1+(Inputs!$C$3-(Inputs!$C$3*(('Steady State'!$A179-1)/Inputs!$C$4))),'Steady State'!$A179-1)),N178)</f>
        <v>18700.685854852014</v>
      </c>
      <c r="O179" s="12">
        <v>0</v>
      </c>
      <c r="P179" s="12">
        <v>0</v>
      </c>
    </row>
    <row r="180" spans="1:16" x14ac:dyDescent="0.35">
      <c r="A180">
        <v>178</v>
      </c>
      <c r="C180" s="14">
        <f t="shared" si="9"/>
        <v>860158.97404836828</v>
      </c>
      <c r="D180" s="14">
        <f t="shared" si="10"/>
        <v>702776.17690104025</v>
      </c>
      <c r="E180" s="14">
        <f t="shared" si="11"/>
        <v>38693.629020753157</v>
      </c>
      <c r="F180" s="14">
        <f t="shared" si="8"/>
        <v>56342.551372114736</v>
      </c>
      <c r="H180" s="14" cm="1">
        <f t="array" ref="H180:K180">MMULT($C179:$F179,P_Matrix)</f>
        <v>816395.48388215539</v>
      </c>
      <c r="I180" s="14">
        <v>684020.39540123474</v>
      </c>
      <c r="J180" s="14">
        <v>38693.629020753157</v>
      </c>
      <c r="K180" s="14">
        <v>112464.90890789944</v>
      </c>
      <c r="M180" s="12">
        <f>MAX((Inputs!F$25*POWER(1+(Inputs!$C$3-(Inputs!$C$3*(('Steady State'!$A180-1)/Inputs!$C$4))),'Steady State'!$A180-1)),M179)</f>
        <v>43763.490166212934</v>
      </c>
      <c r="N180" s="12">
        <f>MAX((Inputs!G$25*POWER(1+(Inputs!$C$3-(Inputs!$C$3*(('Steady State'!$A180-1)/Inputs!$C$4))),'Steady State'!$A180-1)),N179)</f>
        <v>18755.781499805544</v>
      </c>
      <c r="O180" s="12">
        <v>0</v>
      </c>
      <c r="P180" s="12">
        <v>0</v>
      </c>
    </row>
    <row r="181" spans="1:16" x14ac:dyDescent="0.35">
      <c r="A181">
        <v>179</v>
      </c>
      <c r="C181" s="14">
        <f t="shared" si="9"/>
        <v>863337.23823761649</v>
      </c>
      <c r="D181" s="14">
        <f t="shared" si="10"/>
        <v>705585.51954273519</v>
      </c>
      <c r="E181" s="14">
        <f t="shared" si="11"/>
        <v>38845.528921945981</v>
      </c>
      <c r="F181" s="14">
        <f t="shared" si="8"/>
        <v>56561.461783670537</v>
      </c>
      <c r="H181" s="14" cm="1">
        <f t="array" ref="H181:K181">MMULT($C180:$F180,P_Matrix)</f>
        <v>819446.56027655187</v>
      </c>
      <c r="I181" s="14">
        <v>686775.22898799321</v>
      </c>
      <c r="J181" s="14">
        <v>38845.528921945981</v>
      </c>
      <c r="K181" s="14">
        <v>112904.01315578527</v>
      </c>
      <c r="M181" s="12">
        <f>MAX((Inputs!F$25*POWER(1+(Inputs!$C$3-(Inputs!$C$3*(('Steady State'!$A181-1)/Inputs!$C$4))),'Steady State'!$A181-1)),M180)</f>
        <v>43890.677961064575</v>
      </c>
      <c r="N181" s="12">
        <f>MAX((Inputs!G$25*POWER(1+(Inputs!$C$3-(Inputs!$C$3*(('Steady State'!$A181-1)/Inputs!$C$4))),'Steady State'!$A181-1)),N180)</f>
        <v>18810.290554741961</v>
      </c>
      <c r="O181" s="12">
        <v>0</v>
      </c>
      <c r="P181" s="12">
        <v>0</v>
      </c>
    </row>
    <row r="182" spans="1:16" x14ac:dyDescent="0.35">
      <c r="A182">
        <v>180</v>
      </c>
      <c r="C182" s="14">
        <f t="shared" si="9"/>
        <v>866493.89490476216</v>
      </c>
      <c r="D182" s="14">
        <f t="shared" si="10"/>
        <v>708379.47172235406</v>
      </c>
      <c r="E182" s="14">
        <f t="shared" si="11"/>
        <v>38996.544930971104</v>
      </c>
      <c r="F182" s="14">
        <f t="shared" si="8"/>
        <v>56779.064963897043</v>
      </c>
      <c r="H182" s="14" cm="1">
        <f t="array" ref="H182:K182">MMULT($C181:$F181,P_Matrix)</f>
        <v>822477.41203098139</v>
      </c>
      <c r="I182" s="14">
        <v>689515.26477644802</v>
      </c>
      <c r="J182" s="14">
        <v>38996.544930971104</v>
      </c>
      <c r="K182" s="14">
        <v>113340.52674756758</v>
      </c>
      <c r="M182" s="12">
        <f>MAX((Inputs!F$25*POWER(1+(Inputs!$C$3-(Inputs!$C$3*(('Steady State'!$A182-1)/Inputs!$C$4))),'Steady State'!$A182-1)),M181)</f>
        <v>44016.482873780777</v>
      </c>
      <c r="N182" s="12">
        <f>MAX((Inputs!G$25*POWER(1+(Inputs!$C$3-(Inputs!$C$3*(('Steady State'!$A182-1)/Inputs!$C$4))),'Steady State'!$A182-1)),N181)</f>
        <v>18864.206945906048</v>
      </c>
      <c r="O182" s="12">
        <v>0</v>
      </c>
      <c r="P182" s="12">
        <v>0</v>
      </c>
    </row>
    <row r="183" spans="1:16" x14ac:dyDescent="0.35">
      <c r="A183">
        <v>181</v>
      </c>
      <c r="C183" s="14">
        <f t="shared" si="9"/>
        <v>869628.60127711296</v>
      </c>
      <c r="D183" s="14">
        <f t="shared" si="10"/>
        <v>711157.72793358704</v>
      </c>
      <c r="E183" s="14">
        <f t="shared" si="11"/>
        <v>39146.66062485383</v>
      </c>
      <c r="F183" s="14">
        <f t="shared" si="8"/>
        <v>56995.337231556252</v>
      </c>
      <c r="H183" s="14" cm="1">
        <f t="array" ref="H183:K183">MMULT($C182:$F182,P_Matrix)</f>
        <v>825487.710420797</v>
      </c>
      <c r="I183" s="14">
        <v>692240.20328088023</v>
      </c>
      <c r="J183" s="14">
        <v>39146.66062485383</v>
      </c>
      <c r="K183" s="14">
        <v>113774.40219545329</v>
      </c>
      <c r="M183" s="12">
        <f>MAX((Inputs!F$25*POWER(1+(Inputs!$C$3-(Inputs!$C$3*(('Steady State'!$A183-1)/Inputs!$C$4))),'Steady State'!$A183-1)),M182)</f>
        <v>44140.890856316008</v>
      </c>
      <c r="N183" s="12">
        <f>MAX((Inputs!G$25*POWER(1+(Inputs!$C$3-(Inputs!$C$3*(('Steady State'!$A183-1)/Inputs!$C$4))),'Steady State'!$A183-1)),N182)</f>
        <v>18917.524652706859</v>
      </c>
      <c r="O183" s="12">
        <v>0</v>
      </c>
      <c r="P183" s="12">
        <v>0</v>
      </c>
    </row>
    <row r="184" spans="1:16" x14ac:dyDescent="0.35">
      <c r="A184">
        <v>182</v>
      </c>
      <c r="C184" s="14">
        <f t="shared" si="9"/>
        <v>872741.01652959606</v>
      </c>
      <c r="D184" s="14">
        <f t="shared" si="10"/>
        <v>713919.98430253065</v>
      </c>
      <c r="E184" s="14">
        <f t="shared" si="11"/>
        <v>39295.8596670193</v>
      </c>
      <c r="F184" s="14">
        <f t="shared" si="8"/>
        <v>57210.255032534456</v>
      </c>
      <c r="H184" s="14" cm="1">
        <f t="array" ref="H184:K184">MMULT($C183:$F183,P_Matrix)</f>
        <v>828477.12854230742</v>
      </c>
      <c r="I184" s="14">
        <v>694949.74659369269</v>
      </c>
      <c r="J184" s="14">
        <v>39295.8596670193</v>
      </c>
      <c r="K184" s="14">
        <v>114205.59226409071</v>
      </c>
      <c r="M184" s="12">
        <f>MAX((Inputs!F$25*POWER(1+(Inputs!$C$3-(Inputs!$C$3*(('Steady State'!$A184-1)/Inputs!$C$4))),'Steady State'!$A184-1)),M183)</f>
        <v>44263.887987288661</v>
      </c>
      <c r="N184" s="12">
        <f>MAX((Inputs!G$25*POWER(1+(Inputs!$C$3-(Inputs!$C$3*(('Steady State'!$A184-1)/Inputs!$C$4))),'Steady State'!$A184-1)),N183)</f>
        <v>18970.237708837998</v>
      </c>
      <c r="O184" s="12">
        <v>0</v>
      </c>
      <c r="P184" s="12">
        <v>0</v>
      </c>
    </row>
    <row r="185" spans="1:16" x14ac:dyDescent="0.35">
      <c r="A185">
        <v>183</v>
      </c>
      <c r="C185" s="14">
        <f t="shared" si="9"/>
        <v>875830.80182210356</v>
      </c>
      <c r="D185" s="14">
        <f t="shared" si="10"/>
        <v>716665.93860472797</v>
      </c>
      <c r="E185" s="14">
        <f t="shared" si="11"/>
        <v>39444.125808532845</v>
      </c>
      <c r="F185" s="14">
        <f t="shared" si="8"/>
        <v>57423.794941718625</v>
      </c>
      <c r="H185" s="14" cm="1">
        <f t="array" ref="H185:K185">MMULT($C184:$F184,P_Matrix)</f>
        <v>831445.34134754748</v>
      </c>
      <c r="I185" s="14">
        <v>697643.59840134683</v>
      </c>
      <c r="J185" s="14">
        <v>39444.125808532845</v>
      </c>
      <c r="K185" s="14">
        <v>114634.04997425308</v>
      </c>
      <c r="M185" s="12">
        <f>MAX((Inputs!F$25*POWER(1+(Inputs!$C$3-(Inputs!$C$3*(('Steady State'!$A185-1)/Inputs!$C$4))),'Steady State'!$A185-1)),M184)</f>
        <v>44385.460474556072</v>
      </c>
      <c r="N185" s="12">
        <f>MAX((Inputs!G$25*POWER(1+(Inputs!$C$3-(Inputs!$C$3*(('Steady State'!$A185-1)/Inputs!$C$4))),'Steady State'!$A185-1)),N184)</f>
        <v>19022.340203381173</v>
      </c>
      <c r="O185" s="12">
        <v>0</v>
      </c>
      <c r="P185" s="12">
        <v>0</v>
      </c>
    </row>
    <row r="186" spans="1:16" x14ac:dyDescent="0.35">
      <c r="A186">
        <v>184</v>
      </c>
      <c r="C186" s="14">
        <f t="shared" si="9"/>
        <v>878897.62033747521</v>
      </c>
      <c r="D186" s="14">
        <f t="shared" si="10"/>
        <v>719395.29028327344</v>
      </c>
      <c r="E186" s="14">
        <f t="shared" si="11"/>
        <v>39591.442889388025</v>
      </c>
      <c r="F186" s="14">
        <f t="shared" si="8"/>
        <v>57635.933664938151</v>
      </c>
      <c r="H186" s="14" cm="1">
        <f t="array" ref="H186:K186">MMULT($C185:$F185,P_Matrix)</f>
        <v>834392.02567967796</v>
      </c>
      <c r="I186" s="14">
        <v>700321.46400136035</v>
      </c>
      <c r="J186" s="14">
        <v>39591.442889388025</v>
      </c>
      <c r="K186" s="14">
        <v>115059.72860665678</v>
      </c>
      <c r="M186" s="12">
        <f>MAX((Inputs!F$25*POWER(1+(Inputs!$C$3-(Inputs!$C$3*(('Steady State'!$A186-1)/Inputs!$C$4))),'Steady State'!$A186-1)),M185)</f>
        <v>44505.594657797286</v>
      </c>
      <c r="N186" s="12">
        <f>MAX((Inputs!G$25*POWER(1+(Inputs!$C$3-(Inputs!$C$3*(('Steady State'!$A186-1)/Inputs!$C$4))),'Steady State'!$A186-1)),N185)</f>
        <v>19073.826281913123</v>
      </c>
      <c r="O186" s="12">
        <v>0</v>
      </c>
      <c r="P186" s="12">
        <v>0</v>
      </c>
    </row>
    <row r="187" spans="1:16" x14ac:dyDescent="0.35">
      <c r="A187">
        <v>185</v>
      </c>
      <c r="C187" s="14">
        <f t="shared" si="9"/>
        <v>881941.13732005097</v>
      </c>
      <c r="D187" s="14">
        <f t="shared" si="10"/>
        <v>722107.74046792265</v>
      </c>
      <c r="E187" s="14">
        <f t="shared" si="11"/>
        <v>39737.794839840302</v>
      </c>
      <c r="F187" s="14">
        <f t="shared" si="8"/>
        <v>57846.64804096947</v>
      </c>
      <c r="H187" s="14" cm="1">
        <f t="array" ref="H187:K187">MMULT($C186:$F186,P_Matrix)</f>
        <v>837316.86030899826</v>
      </c>
      <c r="I187" s="14">
        <v>702983.05032032856</v>
      </c>
      <c r="J187" s="14">
        <v>39737.794839840302</v>
      </c>
      <c r="K187" s="14">
        <v>115482.58170590762</v>
      </c>
      <c r="M187" s="12">
        <f>MAX((Inputs!F$25*POWER(1+(Inputs!$C$3-(Inputs!$C$3*(('Steady State'!$A187-1)/Inputs!$C$4))),'Steady State'!$A187-1)),M186)</f>
        <v>44624.277011052764</v>
      </c>
      <c r="N187" s="12">
        <f>MAX((Inputs!G$25*POWER(1+(Inputs!$C$3-(Inputs!$C$3*(('Steady State'!$A187-1)/Inputs!$C$4))),'Steady State'!$A187-1)),N186)</f>
        <v>19124.690147594043</v>
      </c>
      <c r="O187" s="12">
        <v>0</v>
      </c>
      <c r="P187" s="12">
        <v>0</v>
      </c>
    </row>
    <row r="188" spans="1:16" x14ac:dyDescent="0.35">
      <c r="A188">
        <v>186</v>
      </c>
      <c r="C188" s="14">
        <f t="shared" si="9"/>
        <v>884961.02011477167</v>
      </c>
      <c r="D188" s="14">
        <f t="shared" si="10"/>
        <v>724802.99199517397</v>
      </c>
      <c r="E188" s="14">
        <f t="shared" si="11"/>
        <v>39883.165681783918</v>
      </c>
      <c r="F188" s="14">
        <f t="shared" si="8"/>
        <v>58055.915043599285</v>
      </c>
      <c r="H188" s="14" cm="1">
        <f t="array" ref="H188:K188">MMULT($C187:$F187,P_Matrix)</f>
        <v>840219.52596951113</v>
      </c>
      <c r="I188" s="14">
        <v>705628.0659329195</v>
      </c>
      <c r="J188" s="14">
        <v>39883.165681783918</v>
      </c>
      <c r="K188" s="14">
        <v>115902.56308456876</v>
      </c>
      <c r="M188" s="12">
        <f>MAX((Inputs!F$25*POWER(1+(Inputs!$C$3-(Inputs!$C$3*(('Steady State'!$A188-1)/Inputs!$C$4))),'Steady State'!$A188-1)),M187)</f>
        <v>44741.494145260527</v>
      </c>
      <c r="N188" s="12">
        <f>MAX((Inputs!G$25*POWER(1+(Inputs!$C$3-(Inputs!$C$3*(('Steady State'!$A188-1)/Inputs!$C$4))),'Steady State'!$A188-1)),N187)</f>
        <v>19174.926062254512</v>
      </c>
      <c r="O188" s="12">
        <v>0</v>
      </c>
      <c r="P188" s="12">
        <v>0</v>
      </c>
    </row>
    <row r="189" spans="1:16" x14ac:dyDescent="0.35">
      <c r="A189">
        <v>187</v>
      </c>
      <c r="C189" s="14">
        <f t="shared" si="9"/>
        <v>887956.9382067892</v>
      </c>
      <c r="D189" s="14">
        <f t="shared" si="10"/>
        <v>727480.74942927447</v>
      </c>
      <c r="E189" s="14">
        <f t="shared" si="11"/>
        <v>40027.539530169808</v>
      </c>
      <c r="F189" s="14">
        <f t="shared" si="8"/>
        <v>58263.711783744344</v>
      </c>
      <c r="H189" s="14" cm="1">
        <f t="array" ref="H189:K189">MMULT($C188:$F188,P_Matrix)</f>
        <v>843099.70539601531</v>
      </c>
      <c r="I189" s="14">
        <v>708256.22108179994</v>
      </c>
      <c r="J189" s="14">
        <v>40027.539530169808</v>
      </c>
      <c r="K189" s="14">
        <v>116319.62682734363</v>
      </c>
      <c r="M189" s="12">
        <f>MAX((Inputs!F$25*POWER(1+(Inputs!$C$3-(Inputs!$C$3*(('Steady State'!$A189-1)/Inputs!$C$4))),'Steady State'!$A189-1)),M188)</f>
        <v>44857.232810773879</v>
      </c>
      <c r="N189" s="12">
        <f>MAX((Inputs!G$25*POWER(1+(Inputs!$C$3-(Inputs!$C$3*(('Steady State'!$A189-1)/Inputs!$C$4))),'Steady State'!$A189-1)),N188)</f>
        <v>19224.528347474519</v>
      </c>
      <c r="O189" s="12">
        <v>0</v>
      </c>
      <c r="P189" s="12">
        <v>0</v>
      </c>
    </row>
    <row r="190" spans="1:16" x14ac:dyDescent="0.35">
      <c r="A190">
        <v>188</v>
      </c>
      <c r="C190" s="14">
        <f t="shared" si="9"/>
        <v>890928.56326152687</v>
      </c>
      <c r="D190" s="14">
        <f t="shared" si="10"/>
        <v>730140.7190840987</v>
      </c>
      <c r="E190" s="14">
        <f t="shared" si="11"/>
        <v>40170.900594462524</v>
      </c>
      <c r="F190" s="14">
        <f t="shared" si="8"/>
        <v>58470.015511624362</v>
      </c>
      <c r="H190" s="14" cm="1">
        <f t="array" ref="H190:K190">MMULT($C189:$F189,P_Matrix)</f>
        <v>845957.08336169145</v>
      </c>
      <c r="I190" s="14">
        <v>710867.22769845498</v>
      </c>
      <c r="J190" s="14">
        <v>40170.900594462524</v>
      </c>
      <c r="K190" s="14">
        <v>116733.72729536871</v>
      </c>
      <c r="M190" s="12">
        <f>MAX((Inputs!F$25*POWER(1+(Inputs!$C$3-(Inputs!$C$3*(('Steady State'!$A190-1)/Inputs!$C$4))),'Steady State'!$A190-1)),M189)</f>
        <v>44971.479899835402</v>
      </c>
      <c r="N190" s="12">
        <f>MAX((Inputs!G$25*POWER(1+(Inputs!$C$3-(Inputs!$C$3*(('Steady State'!$A190-1)/Inputs!$C$4))),'Steady State'!$A190-1)),N189)</f>
        <v>19273.491385643742</v>
      </c>
      <c r="O190" s="12">
        <v>0</v>
      </c>
      <c r="P190" s="12">
        <v>0</v>
      </c>
    </row>
    <row r="191" spans="1:16" x14ac:dyDescent="0.35">
      <c r="A191">
        <v>189</v>
      </c>
      <c r="C191" s="14">
        <f t="shared" si="9"/>
        <v>893875.56916518486</v>
      </c>
      <c r="D191" s="14">
        <f t="shared" si="10"/>
        <v>732782.60904587409</v>
      </c>
      <c r="E191" s="14">
        <f t="shared" si="11"/>
        <v>40313.233180133771</v>
      </c>
      <c r="F191" s="14">
        <f t="shared" si="8"/>
        <v>58674.803618984392</v>
      </c>
      <c r="H191" s="14" cm="1">
        <f t="array" ref="H191:K191">MMULT($C190:$F190,P_Matrix)</f>
        <v>848791.34671612259</v>
      </c>
      <c r="I191" s="14">
        <v>713460.79942484736</v>
      </c>
      <c r="J191" s="14">
        <v>40313.233180133771</v>
      </c>
      <c r="K191" s="14">
        <v>117144.81913060875</v>
      </c>
      <c r="M191" s="12">
        <f>MAX((Inputs!F$25*POWER(1+(Inputs!$C$3-(Inputs!$C$3*(('Steady State'!$A191-1)/Inputs!$C$4))),'Steady State'!$A191-1)),M190)</f>
        <v>45084.222449062261</v>
      </c>
      <c r="N191" s="12">
        <f>MAX((Inputs!G$25*POWER(1+(Inputs!$C$3-(Inputs!$C$3*(('Steady State'!$A191-1)/Inputs!$C$4))),'Steady State'!$A191-1)),N190)</f>
        <v>19321.809621026685</v>
      </c>
      <c r="O191" s="12">
        <v>0</v>
      </c>
      <c r="P191" s="12">
        <v>0</v>
      </c>
    </row>
    <row r="192" spans="1:16" x14ac:dyDescent="0.35">
      <c r="A192">
        <v>190</v>
      </c>
      <c r="C192" s="14">
        <f t="shared" si="9"/>
        <v>896797.63206562353</v>
      </c>
      <c r="D192" s="14">
        <f t="shared" si="10"/>
        <v>735406.1291966954</v>
      </c>
      <c r="E192" s="14">
        <f t="shared" si="11"/>
        <v>40454.521690190857</v>
      </c>
      <c r="F192" s="14">
        <f t="shared" si="8"/>
        <v>58878.053641365208</v>
      </c>
      <c r="H192" s="14" cm="1">
        <f t="array" ref="H192:K192">MMULT($C191:$F191,P_Matrix)</f>
        <v>851602.18442374584</v>
      </c>
      <c r="I192" s="14">
        <v>716036.65163589071</v>
      </c>
      <c r="J192" s="14">
        <v>40454.521690190857</v>
      </c>
      <c r="K192" s="14">
        <v>117552.8572603496</v>
      </c>
      <c r="M192" s="12">
        <f>MAX((Inputs!F$25*POWER(1+(Inputs!$C$3-(Inputs!$C$3*(('Steady State'!$A192-1)/Inputs!$C$4))),'Steady State'!$A192-1)),M191)</f>
        <v>45195.447641877654</v>
      </c>
      <c r="N192" s="12">
        <f>MAX((Inputs!G$25*POWER(1+(Inputs!$C$3-(Inputs!$C$3*(('Steady State'!$A192-1)/Inputs!$C$4))),'Steady State'!$A192-1)),N191)</f>
        <v>19369.477560804709</v>
      </c>
      <c r="O192" s="12">
        <v>0</v>
      </c>
      <c r="P192" s="12">
        <v>0</v>
      </c>
    </row>
    <row r="193" spans="1:16" x14ac:dyDescent="0.35">
      <c r="A193">
        <v>191</v>
      </c>
      <c r="C193" s="14">
        <f t="shared" si="9"/>
        <v>899694.43041361915</v>
      </c>
      <c r="D193" s="14">
        <f t="shared" si="10"/>
        <v>738010.99123880279</v>
      </c>
      <c r="E193" s="14">
        <f t="shared" si="11"/>
        <v>40594.750626737703</v>
      </c>
      <c r="F193" s="14">
        <f t="shared" si="8"/>
        <v>59079.743260417272</v>
      </c>
      <c r="H193" s="14" cm="1">
        <f t="array" ref="H193:K193">MMULT($C192:$F192,P_Matrix)</f>
        <v>854389.287602672</v>
      </c>
      <c r="I193" s="14">
        <v>718594.50146268262</v>
      </c>
      <c r="J193" s="14">
        <v>40594.750626737703</v>
      </c>
      <c r="K193" s="14">
        <v>117957.79690178248</v>
      </c>
      <c r="M193" s="12">
        <f>MAX((Inputs!F$25*POWER(1+(Inputs!$C$3-(Inputs!$C$3*(('Steady State'!$A193-1)/Inputs!$C$4))),'Steady State'!$A193-1)),M192)</f>
        <v>45305.142810947138</v>
      </c>
      <c r="N193" s="12">
        <f>MAX((Inputs!G$25*POWER(1+(Inputs!$C$3-(Inputs!$C$3*(('Steady State'!$A193-1)/Inputs!$C$4))),'Steady State'!$A193-1)),N192)</f>
        <v>19416.489776120205</v>
      </c>
      <c r="O193" s="12">
        <v>0</v>
      </c>
      <c r="P193" s="12">
        <v>0</v>
      </c>
    </row>
    <row r="194" spans="1:16" x14ac:dyDescent="0.35">
      <c r="A194">
        <v>192</v>
      </c>
      <c r="C194" s="14">
        <f t="shared" si="9"/>
        <v>902565.64500442974</v>
      </c>
      <c r="D194" s="14">
        <f t="shared" si="10"/>
        <v>740596.90871957154</v>
      </c>
      <c r="E194" s="14">
        <f t="shared" si="11"/>
        <v>40733.90459256684</v>
      </c>
      <c r="F194" s="14">
        <f t="shared" si="8"/>
        <v>59279.850306257089</v>
      </c>
      <c r="H194" s="14" cm="1">
        <f t="array" ref="H194:K194">MMULT($C193:$F193,P_Matrix)</f>
        <v>857152.34956386383</v>
      </c>
      <c r="I194" s="14">
        <v>721134.06781647191</v>
      </c>
      <c r="J194" s="14">
        <v>40733.90459256684</v>
      </c>
      <c r="K194" s="14">
        <v>118359.59356667436</v>
      </c>
      <c r="M194" s="12">
        <f>MAX((Inputs!F$25*POWER(1+(Inputs!$C$3-(Inputs!$C$3*(('Steady State'!$A194-1)/Inputs!$C$4))),'Steady State'!$A194-1)),M193)</f>
        <v>45413.295440565918</v>
      </c>
      <c r="N194" s="12">
        <f>MAX((Inputs!G$25*POWER(1+(Inputs!$C$3-(Inputs!$C$3*(('Steady State'!$A194-1)/Inputs!$C$4))),'Steady State'!$A194-1)),N193)</f>
        <v>19462.840903099681</v>
      </c>
      <c r="O194" s="12">
        <v>0</v>
      </c>
      <c r="P194" s="12">
        <v>0</v>
      </c>
    </row>
    <row r="195" spans="1:16" x14ac:dyDescent="0.35">
      <c r="A195">
        <v>193</v>
      </c>
      <c r="C195" s="14">
        <f t="shared" si="9"/>
        <v>905410.95901965664</v>
      </c>
      <c r="D195" s="14">
        <f t="shared" si="10"/>
        <v>743163.59705718432</v>
      </c>
      <c r="E195" s="14">
        <f t="shared" si="11"/>
        <v>40871.968292780119</v>
      </c>
      <c r="F195" s="14">
        <f t="shared" ref="F195:F258" si="12">(K195+P195)-F194</f>
        <v>59478.352759861744</v>
      </c>
      <c r="H195" s="14" cm="1">
        <f t="array" ref="H195:K195">MMULT($C194:$F194,P_Matrix)</f>
        <v>859891.06585061632</v>
      </c>
      <c r="I195" s="14">
        <v>723655.0714133099</v>
      </c>
      <c r="J195" s="14">
        <v>40871.968292780119</v>
      </c>
      <c r="K195" s="14">
        <v>118758.20306611883</v>
      </c>
      <c r="M195" s="12">
        <f>MAX((Inputs!F$25*POWER(1+(Inputs!$C$3-(Inputs!$C$3*(('Steady State'!$A195-1)/Inputs!$C$4))),'Steady State'!$A195-1)),M194)</f>
        <v>45519.893169040319</v>
      </c>
      <c r="N195" s="12">
        <f>MAX((Inputs!G$25*POWER(1+(Inputs!$C$3-(Inputs!$C$3*(('Steady State'!$A195-1)/Inputs!$C$4))),'Steady State'!$A195-1)),N194)</f>
        <v>19508.525643874422</v>
      </c>
      <c r="O195" s="12">
        <v>0</v>
      </c>
      <c r="P195" s="12">
        <v>0</v>
      </c>
    </row>
    <row r="196" spans="1:16" x14ac:dyDescent="0.35">
      <c r="A196">
        <v>194</v>
      </c>
      <c r="C196" s="14">
        <f t="shared" ref="C196:C259" si="13">H196+M196</f>
        <v>908230.05806936917</v>
      </c>
      <c r="D196" s="14">
        <f t="shared" ref="D196:D259" si="14">I196+N196</f>
        <v>745710.77356694674</v>
      </c>
      <c r="E196" s="14">
        <f t="shared" ref="E196:E259" si="15">J196+O196</f>
        <v>41008.926536436484</v>
      </c>
      <c r="F196" s="14">
        <f t="shared" si="12"/>
        <v>59675.228755500248</v>
      </c>
      <c r="H196" s="14" cm="1">
        <f t="array" ref="H196:K196">MMULT($C195:$F195,P_Matrix)</f>
        <v>862605.13427832711</v>
      </c>
      <c r="I196" s="14">
        <v>726157.23479935725</v>
      </c>
      <c r="J196" s="14">
        <v>41008.926536436484</v>
      </c>
      <c r="K196" s="14">
        <v>119153.58151536199</v>
      </c>
      <c r="M196" s="12">
        <f>MAX((Inputs!F$25*POWER(1+(Inputs!$C$3-(Inputs!$C$3*(('Steady State'!$A196-1)/Inputs!$C$4))),'Steady State'!$A196-1)),M195)</f>
        <v>45624.923791042056</v>
      </c>
      <c r="N196" s="12">
        <f>MAX((Inputs!G$25*POWER(1+(Inputs!$C$3-(Inputs!$C$3*(('Steady State'!$A196-1)/Inputs!$C$4))),'Steady State'!$A196-1)),N195)</f>
        <v>19553.538767589453</v>
      </c>
      <c r="O196" s="12">
        <v>0</v>
      </c>
      <c r="P196" s="12">
        <v>0</v>
      </c>
    </row>
    <row r="197" spans="1:16" x14ac:dyDescent="0.35">
      <c r="A197">
        <v>195</v>
      </c>
      <c r="C197" s="14">
        <f t="shared" si="13"/>
        <v>911022.63023444032</v>
      </c>
      <c r="D197" s="14">
        <f t="shared" si="14"/>
        <v>748238.15748820303</v>
      </c>
      <c r="E197" s="14">
        <f t="shared" si="15"/>
        <v>41144.764238225049</v>
      </c>
      <c r="F197" s="14">
        <f t="shared" si="12"/>
        <v>59870.456583198604</v>
      </c>
      <c r="H197" s="14" cm="1">
        <f t="array" ref="H197:K197">MMULT($C196:$F196,P_Matrix)</f>
        <v>865294.25497452007</v>
      </c>
      <c r="I197" s="14">
        <v>728640.28237680858</v>
      </c>
      <c r="J197" s="14">
        <v>41144.764238225049</v>
      </c>
      <c r="K197" s="14">
        <v>119545.68533869885</v>
      </c>
      <c r="M197" s="12">
        <f>MAX((Inputs!F$25*POWER(1+(Inputs!$C$3-(Inputs!$C$3*(('Steady State'!$A197-1)/Inputs!$C$4))),'Steady State'!$A197-1)),M196)</f>
        <v>45728.3752599203</v>
      </c>
      <c r="N197" s="12">
        <f>MAX((Inputs!G$25*POWER(1+(Inputs!$C$3-(Inputs!$C$3*(('Steady State'!$A197-1)/Inputs!$C$4))),'Steady State'!$A197-1)),N196)</f>
        <v>19597.875111394416</v>
      </c>
      <c r="O197" s="12">
        <v>0</v>
      </c>
      <c r="P197" s="12">
        <v>0</v>
      </c>
    </row>
    <row r="198" spans="1:16" x14ac:dyDescent="0.35">
      <c r="A198">
        <v>196</v>
      </c>
      <c r="C198" s="14">
        <f t="shared" si="13"/>
        <v>913788.36610909668</v>
      </c>
      <c r="D198" s="14">
        <f t="shared" si="14"/>
        <v>750745.4700118294</v>
      </c>
      <c r="E198" s="14">
        <f t="shared" si="15"/>
        <v>41279.466420161465</v>
      </c>
      <c r="F198" s="14">
        <f t="shared" si="12"/>
        <v>60064.014691235549</v>
      </c>
      <c r="H198" s="14" cm="1">
        <f t="array" ref="H198:K198">MMULT($C197:$F197,P_Matrix)</f>
        <v>867958.1304190784</v>
      </c>
      <c r="I198" s="14">
        <v>731103.94043039298</v>
      </c>
      <c r="J198" s="14">
        <v>41279.466420161465</v>
      </c>
      <c r="K198" s="14">
        <v>119934.47127443415</v>
      </c>
      <c r="M198" s="12">
        <f>MAX((Inputs!F$25*POWER(1+(Inputs!$C$3-(Inputs!$C$3*(('Steady State'!$A198-1)/Inputs!$C$4))),'Steady State'!$A198-1)),M197)</f>
        <v>45830.235690018235</v>
      </c>
      <c r="N198" s="12">
        <f>MAX((Inputs!G$25*POWER(1+(Inputs!$C$3-(Inputs!$C$3*(('Steady State'!$A198-1)/Inputs!$C$4))),'Steady State'!$A198-1)),N197)</f>
        <v>19641.529581436385</v>
      </c>
      <c r="O198" s="12">
        <v>0</v>
      </c>
      <c r="P198" s="12">
        <v>0</v>
      </c>
    </row>
    <row r="199" spans="1:16" x14ac:dyDescent="0.35">
      <c r="A199">
        <v>197</v>
      </c>
      <c r="C199" s="14">
        <f t="shared" si="13"/>
        <v>916526.95884361432</v>
      </c>
      <c r="D199" s="14">
        <f t="shared" si="14"/>
        <v>753232.43430825463</v>
      </c>
      <c r="E199" s="14">
        <f t="shared" si="15"/>
        <v>41413.018213306139</v>
      </c>
      <c r="F199" s="14">
        <f t="shared" si="12"/>
        <v>60255.881688668138</v>
      </c>
      <c r="H199" s="14" cm="1">
        <f t="array" ref="H199:K199">MMULT($C198:$F198,P_Matrix)</f>
        <v>870596.46548468526</v>
      </c>
      <c r="I199" s="14">
        <v>733547.93715442787</v>
      </c>
      <c r="J199" s="14">
        <v>41413.018213306139</v>
      </c>
      <c r="K199" s="14">
        <v>120319.89637990369</v>
      </c>
      <c r="M199" s="12">
        <f>MAX((Inputs!F$25*POWER(1+(Inputs!$C$3-(Inputs!$C$3*(('Steady State'!$A199-1)/Inputs!$C$4))),'Steady State'!$A199-1)),M198)</f>
        <v>45930.493358929045</v>
      </c>
      <c r="N199" s="12">
        <f>MAX((Inputs!G$25*POWER(1+(Inputs!$C$3-(Inputs!$C$3*(('Steady State'!$A199-1)/Inputs!$C$4))),'Steady State'!$A199-1)),N198)</f>
        <v>19684.497153826735</v>
      </c>
      <c r="O199" s="12">
        <v>0</v>
      </c>
      <c r="P199" s="12">
        <v>0</v>
      </c>
    </row>
    <row r="200" spans="1:16" x14ac:dyDescent="0.35">
      <c r="A200">
        <v>198</v>
      </c>
      <c r="C200" s="14">
        <f t="shared" si="13"/>
        <v>919238.10418715724</v>
      </c>
      <c r="D200" s="14">
        <f t="shared" si="14"/>
        <v>755698.77555598528</v>
      </c>
      <c r="E200" s="14">
        <f t="shared" si="15"/>
        <v>41545.404859502378</v>
      </c>
      <c r="F200" s="14">
        <f t="shared" si="12"/>
        <v>60446.036347882611</v>
      </c>
      <c r="H200" s="14" cm="1">
        <f t="array" ref="H200:K200">MMULT($C199:$F199,P_Matrix)</f>
        <v>873208.96747741045</v>
      </c>
      <c r="I200" s="14">
        <v>735972.00268037943</v>
      </c>
      <c r="J200" s="14">
        <v>41545.404859502378</v>
      </c>
      <c r="K200" s="14">
        <v>120701.91803655075</v>
      </c>
      <c r="M200" s="12">
        <f>MAX((Inputs!F$25*POWER(1+(Inputs!$C$3-(Inputs!$C$3*(('Steady State'!$A200-1)/Inputs!$C$4))),'Steady State'!$A200-1)),M199)</f>
        <v>46029.136709746846</v>
      </c>
      <c r="N200" s="12">
        <f>MAX((Inputs!G$25*POWER(1+(Inputs!$C$3-(Inputs!$C$3*(('Steady State'!$A200-1)/Inputs!$C$4))),'Steady State'!$A200-1)),N199)</f>
        <v>19726.772875605791</v>
      </c>
      <c r="O200" s="12">
        <v>0</v>
      </c>
      <c r="P200" s="12">
        <v>0</v>
      </c>
    </row>
    <row r="201" spans="1:16" x14ac:dyDescent="0.35">
      <c r="A201">
        <v>199</v>
      </c>
      <c r="C201" s="14">
        <f t="shared" si="13"/>
        <v>921921.50053072814</v>
      </c>
      <c r="D201" s="14">
        <f t="shared" si="14"/>
        <v>758144.22097060014</v>
      </c>
      <c r="E201" s="14">
        <f t="shared" si="15"/>
        <v>41676.61171313285</v>
      </c>
      <c r="F201" s="14">
        <f t="shared" si="12"/>
        <v>60634.457607169876</v>
      </c>
      <c r="H201" s="14" cm="1">
        <f t="array" ref="H201:K201">MMULT($C200:$F200,P_Matrix)</f>
        <v>875795.34617743781</v>
      </c>
      <c r="I201" s="14">
        <v>738375.86910490424</v>
      </c>
      <c r="J201" s="14">
        <v>41676.61171313285</v>
      </c>
      <c r="K201" s="14">
        <v>121080.49395505249</v>
      </c>
      <c r="M201" s="12">
        <f>MAX((Inputs!F$25*POWER(1+(Inputs!$C$3-(Inputs!$C$3*(('Steady State'!$A201-1)/Inputs!$C$4))),'Steady State'!$A201-1)),M200)</f>
        <v>46126.154353290382</v>
      </c>
      <c r="N201" s="12">
        <f>MAX((Inputs!G$25*POWER(1+(Inputs!$C$3-(Inputs!$C$3*(('Steady State'!$A201-1)/Inputs!$C$4))),'Steady State'!$A201-1)),N200)</f>
        <v>19768.351865695877</v>
      </c>
      <c r="O201" s="12">
        <v>0</v>
      </c>
      <c r="P201" s="12">
        <v>0</v>
      </c>
    </row>
    <row r="202" spans="1:16" x14ac:dyDescent="0.35">
      <c r="A202">
        <v>200</v>
      </c>
      <c r="C202" s="14">
        <f t="shared" si="13"/>
        <v>924576.84895018081</v>
      </c>
      <c r="D202" s="14">
        <f t="shared" si="14"/>
        <v>760568.49983417441</v>
      </c>
      <c r="E202" s="14">
        <f t="shared" si="15"/>
        <v>41806.624242892998</v>
      </c>
      <c r="F202" s="14">
        <f t="shared" si="12"/>
        <v>60821.124573323053</v>
      </c>
      <c r="H202" s="14" cm="1">
        <f t="array" ref="H202:K202">MMULT($C201:$F201,P_Matrix)</f>
        <v>878355.31387990376</v>
      </c>
      <c r="I202" s="14">
        <v>740759.27051834133</v>
      </c>
      <c r="J202" s="14">
        <v>41806.624242892998</v>
      </c>
      <c r="K202" s="14">
        <v>121455.58218049293</v>
      </c>
      <c r="M202" s="12">
        <f>MAX((Inputs!F$25*POWER(1+(Inputs!$C$3-(Inputs!$C$3*(('Steady State'!$A202-1)/Inputs!$C$4))),'Steady State'!$A202-1)),M201)</f>
        <v>46221.535070277081</v>
      </c>
      <c r="N202" s="12">
        <f>MAX((Inputs!G$25*POWER(1+(Inputs!$C$3-(Inputs!$C$3*(('Steady State'!$A202-1)/Inputs!$C$4))),'Steady State'!$A202-1)),N201)</f>
        <v>19809.229315833032</v>
      </c>
      <c r="O202" s="12">
        <v>0</v>
      </c>
      <c r="P202" s="12">
        <v>0</v>
      </c>
    </row>
    <row r="203" spans="1:16" x14ac:dyDescent="0.35">
      <c r="A203">
        <v>201</v>
      </c>
      <c r="C203" s="14">
        <f t="shared" si="13"/>
        <v>927203.85324930004</v>
      </c>
      <c r="D203" s="14">
        <f t="shared" si="14"/>
        <v>762971.34352511354</v>
      </c>
      <c r="E203" s="14">
        <f t="shared" si="15"/>
        <v>41935.428033579345</v>
      </c>
      <c r="F203" s="14">
        <f t="shared" si="12"/>
        <v>61006.016524253915</v>
      </c>
      <c r="H203" s="14" cm="1">
        <f t="array" ref="H203:K203">MMULT($C202:$F202,P_Matrix)</f>
        <v>880888.58543580095</v>
      </c>
      <c r="I203" s="14">
        <v>743121.94303361396</v>
      </c>
      <c r="J203" s="14">
        <v>41935.428033579345</v>
      </c>
      <c r="K203" s="14">
        <v>121827.14109757697</v>
      </c>
      <c r="M203" s="12">
        <f>MAX((Inputs!F$25*POWER(1+(Inputs!$C$3-(Inputs!$C$3*(('Steady State'!$A203-1)/Inputs!$C$4))),'Steady State'!$A203-1)),M202)</f>
        <v>46315.267813499144</v>
      </c>
      <c r="N203" s="12">
        <f>MAX((Inputs!G$25*POWER(1+(Inputs!$C$3-(Inputs!$C$3*(('Steady State'!$A203-1)/Inputs!$C$4))),'Steady State'!$A203-1)),N202)</f>
        <v>19849.400491499633</v>
      </c>
      <c r="O203" s="12">
        <v>0</v>
      </c>
      <c r="P203" s="12">
        <v>0</v>
      </c>
    </row>
    <row r="204" spans="1:16" x14ac:dyDescent="0.35">
      <c r="A204">
        <v>202</v>
      </c>
      <c r="C204" s="14">
        <f t="shared" si="13"/>
        <v>929802.22000289033</v>
      </c>
      <c r="D204" s="14">
        <f t="shared" si="14"/>
        <v>765352.48554835387</v>
      </c>
      <c r="E204" s="14">
        <f t="shared" si="15"/>
        <v>42063.00878789174</v>
      </c>
      <c r="F204" s="14">
        <f t="shared" si="12"/>
        <v>61189.112911627242</v>
      </c>
      <c r="H204" s="14" cm="1">
        <f t="array" ref="H204:K204">MMULT($C203:$F203,P_Matrix)</f>
        <v>883394.87829295103</v>
      </c>
      <c r="I204" s="14">
        <v>745463.62481552269</v>
      </c>
      <c r="J204" s="14">
        <v>42063.00878789174</v>
      </c>
      <c r="K204" s="14">
        <v>122195.12943588116</v>
      </c>
      <c r="M204" s="12">
        <f>MAX((Inputs!F$25*POWER(1+(Inputs!$C$3-(Inputs!$C$3*(('Steady State'!$A204-1)/Inputs!$C$4))),'Steady State'!$A204-1)),M203)</f>
        <v>46407.341709939348</v>
      </c>
      <c r="N204" s="12">
        <f>MAX((Inputs!G$25*POWER(1+(Inputs!$C$3-(Inputs!$C$3*(('Steady State'!$A204-1)/Inputs!$C$4))),'Steady State'!$A204-1)),N203)</f>
        <v>19888.860732831152</v>
      </c>
      <c r="O204" s="12">
        <v>0</v>
      </c>
      <c r="P204" s="12">
        <v>0</v>
      </c>
    </row>
    <row r="205" spans="1:16" x14ac:dyDescent="0.35">
      <c r="A205">
        <v>203</v>
      </c>
      <c r="C205" s="14">
        <f t="shared" si="13"/>
        <v>932371.65859986388</v>
      </c>
      <c r="D205" s="14">
        <f t="shared" si="14"/>
        <v>767711.66156590602</v>
      </c>
      <c r="E205" s="14">
        <f t="shared" si="15"/>
        <v>42189.352328247485</v>
      </c>
      <c r="F205" s="14">
        <f t="shared" si="12"/>
        <v>61370.393363510266</v>
      </c>
      <c r="H205" s="14" cm="1">
        <f t="array" ref="H205:K205">MMULT($C204:$F204,P_Matrix)</f>
        <v>885873.91253698955</v>
      </c>
      <c r="I205" s="14">
        <v>747784.05611038848</v>
      </c>
      <c r="J205" s="14">
        <v>42189.352328247485</v>
      </c>
      <c r="K205" s="14">
        <v>122559.50627513751</v>
      </c>
      <c r="M205" s="12">
        <f>MAX((Inputs!F$25*POWER(1+(Inputs!$C$3-(Inputs!$C$3*(('Steady State'!$A205-1)/Inputs!$C$4))),'Steady State'!$A205-1)),M204)</f>
        <v>46497.746062874372</v>
      </c>
      <c r="N205" s="12">
        <f>MAX((Inputs!G$25*POWER(1+(Inputs!$C$3-(Inputs!$C$3*(('Steady State'!$A205-1)/Inputs!$C$4))),'Steady State'!$A205-1)),N204)</f>
        <v>19927.605455517587</v>
      </c>
      <c r="O205" s="12">
        <v>0</v>
      </c>
      <c r="P205" s="12">
        <v>0</v>
      </c>
    </row>
    <row r="206" spans="1:16" x14ac:dyDescent="0.35">
      <c r="A206">
        <v>204</v>
      </c>
      <c r="C206" s="14">
        <f t="shared" si="13"/>
        <v>934911.88128630631</v>
      </c>
      <c r="D206" s="14">
        <f t="shared" si="14"/>
        <v>770048.60942771344</v>
      </c>
      <c r="E206" s="14">
        <f t="shared" si="15"/>
        <v>42314.444598606191</v>
      </c>
      <c r="F206" s="14">
        <f t="shared" si="12"/>
        <v>61549.837687034968</v>
      </c>
      <c r="H206" s="14" cm="1">
        <f t="array" ref="H206:K206">MMULT($C205:$F205,P_Matrix)</f>
        <v>888325.41093235579</v>
      </c>
      <c r="I206" s="14">
        <v>750082.97927602031</v>
      </c>
      <c r="J206" s="14">
        <v>42314.444598606191</v>
      </c>
      <c r="K206" s="14">
        <v>122920.23105054523</v>
      </c>
      <c r="M206" s="12">
        <f>MAX((Inputs!F$25*POWER(1+(Inputs!$C$3-(Inputs!$C$3*(('Steady State'!$A206-1)/Inputs!$C$4))),'Steady State'!$A206-1)),M205)</f>
        <v>46586.470353950499</v>
      </c>
      <c r="N206" s="12">
        <f>MAX((Inputs!G$25*POWER(1+(Inputs!$C$3-(Inputs!$C$3*(('Steady State'!$A206-1)/Inputs!$C$4))),'Steady State'!$A206-1)),N205)</f>
        <v>19965.630151693073</v>
      </c>
      <c r="O206" s="12">
        <v>0</v>
      </c>
      <c r="P206" s="12">
        <v>0</v>
      </c>
    </row>
    <row r="207" spans="1:16" x14ac:dyDescent="0.35">
      <c r="A207">
        <v>205</v>
      </c>
      <c r="C207" s="14">
        <f t="shared" si="13"/>
        <v>937422.60320847644</v>
      </c>
      <c r="D207" s="14">
        <f t="shared" si="14"/>
        <v>772363.06920278887</v>
      </c>
      <c r="E207" s="14">
        <f t="shared" si="15"/>
        <v>42438.27166630391</v>
      </c>
      <c r="F207" s="14">
        <f t="shared" si="12"/>
        <v>61727.425871072141</v>
      </c>
      <c r="H207" s="14" cm="1">
        <f t="array" ref="H207:K207">MMULT($C206:$F206,P_Matrix)</f>
        <v>890749.09896326554</v>
      </c>
      <c r="I207" s="14">
        <v>752360.13881198422</v>
      </c>
      <c r="J207" s="14">
        <v>42438.27166630391</v>
      </c>
      <c r="K207" s="14">
        <v>123277.26355810711</v>
      </c>
      <c r="M207" s="12">
        <f>MAX((Inputs!F$25*POWER(1+(Inputs!$C$3-(Inputs!$C$3*(('Steady State'!$A207-1)/Inputs!$C$4))),'Steady State'!$A207-1)),M206)</f>
        <v>46673.504245210883</v>
      </c>
      <c r="N207" s="12">
        <f>MAX((Inputs!G$25*POWER(1+(Inputs!$C$3-(Inputs!$C$3*(('Steady State'!$A207-1)/Inputs!$C$4))),'Steady State'!$A207-1)),N206)</f>
        <v>20002.930390804664</v>
      </c>
      <c r="O207" s="12">
        <v>0</v>
      </c>
      <c r="P207" s="12">
        <v>0</v>
      </c>
    </row>
    <row r="208" spans="1:16" x14ac:dyDescent="0.35">
      <c r="A208">
        <v>206</v>
      </c>
      <c r="C208" s="14">
        <f t="shared" si="13"/>
        <v>939903.54245573492</v>
      </c>
      <c r="D208" s="14">
        <f t="shared" si="14"/>
        <v>774654.78321060934</v>
      </c>
      <c r="E208" s="14">
        <f t="shared" si="15"/>
        <v>42560.819723895002</v>
      </c>
      <c r="F208" s="14">
        <f t="shared" si="12"/>
        <v>61903.138088913947</v>
      </c>
      <c r="H208" s="14" cm="1">
        <f t="array" ref="H208:K208">MMULT($C207:$F207,P_Matrix)</f>
        <v>893144.70487462613</v>
      </c>
      <c r="I208" s="14">
        <v>754615.28139013413</v>
      </c>
      <c r="J208" s="14">
        <v>42560.819723895002</v>
      </c>
      <c r="K208" s="14">
        <v>123630.56395998609</v>
      </c>
      <c r="M208" s="12">
        <f>MAX((Inputs!F$25*POWER(1+(Inputs!$C$3-(Inputs!$C$3*(('Steady State'!$A208-1)/Inputs!$C$4))),'Steady State'!$A208-1)),M207)</f>
        <v>46758.837581108754</v>
      </c>
      <c r="N208" s="12">
        <f>MAX((Inputs!G$25*POWER(1+(Inputs!$C$3-(Inputs!$C$3*(('Steady State'!$A208-1)/Inputs!$C$4))),'Steady State'!$A208-1)),N207)</f>
        <v>20039.50182047518</v>
      </c>
      <c r="O208" s="12">
        <v>0</v>
      </c>
      <c r="P208" s="12">
        <v>0</v>
      </c>
    </row>
    <row r="209" spans="1:16" x14ac:dyDescent="0.35">
      <c r="A209">
        <v>207</v>
      </c>
      <c r="C209" s="14">
        <f t="shared" si="13"/>
        <v>942354.42010336043</v>
      </c>
      <c r="D209" s="14">
        <f t="shared" si="14"/>
        <v>776923.49605273432</v>
      </c>
      <c r="E209" s="14">
        <f t="shared" si="15"/>
        <v>42682.075091000443</v>
      </c>
      <c r="F209" s="14">
        <f t="shared" si="12"/>
        <v>62076.954700964074</v>
      </c>
      <c r="H209" s="14" cm="1">
        <f t="array" ref="H209:K209">MMULT($C208:$F208,P_Matrix)</f>
        <v>895511.95971288637</v>
      </c>
      <c r="I209" s="14">
        <v>756848.15588538826</v>
      </c>
      <c r="J209" s="14">
        <v>42682.075091000443</v>
      </c>
      <c r="K209" s="14">
        <v>123980.09278987802</v>
      </c>
      <c r="M209" s="12">
        <f>MAX((Inputs!F$25*POWER(1+(Inputs!$C$3-(Inputs!$C$3*(('Steady State'!$A209-1)/Inputs!$C$4))),'Steady State'!$A209-1)),M208)</f>
        <v>46842.460390474007</v>
      </c>
      <c r="N209" s="12">
        <f>MAX((Inputs!G$25*POWER(1+(Inputs!$C$3-(Inputs!$C$3*(('Steady State'!$A209-1)/Inputs!$C$4))),'Steady State'!$A209-1)),N208)</f>
        <v>20075.340167346003</v>
      </c>
      <c r="O209" s="12">
        <v>0</v>
      </c>
      <c r="P209" s="12">
        <v>0</v>
      </c>
    </row>
    <row r="210" spans="1:16" x14ac:dyDescent="0.35">
      <c r="A210">
        <v>208</v>
      </c>
      <c r="C210" s="14">
        <f t="shared" si="13"/>
        <v>944774.96025523951</v>
      </c>
      <c r="D210" s="14">
        <f t="shared" si="14"/>
        <v>779168.95464462333</v>
      </c>
      <c r="E210" s="14">
        <f t="shared" si="15"/>
        <v>42802.024216161211</v>
      </c>
      <c r="F210" s="14">
        <f t="shared" si="12"/>
        <v>62248.856257432948</v>
      </c>
      <c r="H210" s="14" cm="1">
        <f t="array" ref="H210:K210">MMULT($C209:$F209,P_Matrix)</f>
        <v>897850.59736678621</v>
      </c>
      <c r="I210" s="14">
        <v>759058.51340671477</v>
      </c>
      <c r="J210" s="14">
        <v>42802.024216161211</v>
      </c>
      <c r="K210" s="14">
        <v>124325.81095839702</v>
      </c>
      <c r="M210" s="12">
        <f>MAX((Inputs!F$25*POWER(1+(Inputs!$C$3-(Inputs!$C$3*(('Steady State'!$A210-1)/Inputs!$C$4))),'Steady State'!$A210-1)),M209)</f>
        <v>46924.362888453252</v>
      </c>
      <c r="N210" s="12">
        <f>MAX((Inputs!G$25*POWER(1+(Inputs!$C$3-(Inputs!$C$3*(('Steady State'!$A210-1)/Inputs!$C$4))),'Steady State'!$A210-1)),N209)</f>
        <v>20110.441237908537</v>
      </c>
      <c r="O210" s="12">
        <v>0</v>
      </c>
      <c r="P210" s="12">
        <v>0</v>
      </c>
    </row>
    <row r="211" spans="1:16" x14ac:dyDescent="0.35">
      <c r="A211">
        <v>209</v>
      </c>
      <c r="C211" s="14">
        <f t="shared" si="13"/>
        <v>947164.89008641616</v>
      </c>
      <c r="D211" s="14">
        <f t="shared" si="14"/>
        <v>781390.90824763151</v>
      </c>
      <c r="E211" s="14">
        <f t="shared" si="15"/>
        <v>42920.653678695351</v>
      </c>
      <c r="F211" s="14">
        <f t="shared" si="12"/>
        <v>62418.82350103619</v>
      </c>
      <c r="H211" s="14" cm="1">
        <f t="array" ref="H211:K211">MMULT($C210:$F210,P_Matrix)</f>
        <v>900160.35460798733</v>
      </c>
      <c r="I211" s="14">
        <v>761246.1073283049</v>
      </c>
      <c r="J211" s="14">
        <v>42920.653678695351</v>
      </c>
      <c r="K211" s="14">
        <v>124667.67975846914</v>
      </c>
      <c r="M211" s="12">
        <f>MAX((Inputs!F$25*POWER(1+(Inputs!$C$3-(Inputs!$C$3*(('Steady State'!$A211-1)/Inputs!$C$4))),'Steady State'!$A211-1)),M210)</f>
        <v>47004.535478428785</v>
      </c>
      <c r="N211" s="12">
        <f>MAX((Inputs!G$25*POWER(1+(Inputs!$C$3-(Inputs!$C$3*(('Steady State'!$A211-1)/Inputs!$C$4))),'Steady State'!$A211-1)),N210)</f>
        <v>20144.800919326623</v>
      </c>
      <c r="O211" s="12">
        <v>0</v>
      </c>
      <c r="P211" s="12">
        <v>0</v>
      </c>
    </row>
    <row r="212" spans="1:16" x14ac:dyDescent="0.35">
      <c r="A212">
        <v>210</v>
      </c>
      <c r="C212" s="14">
        <f t="shared" si="13"/>
        <v>949523.93988544703</v>
      </c>
      <c r="D212" s="14">
        <f t="shared" si="14"/>
        <v>783589.10850114306</v>
      </c>
      <c r="E212" s="14">
        <f t="shared" si="15"/>
        <v>43037.950190557691</v>
      </c>
      <c r="F212" s="14">
        <f t="shared" si="12"/>
        <v>62586.837369695269</v>
      </c>
      <c r="H212" s="14" cm="1">
        <f t="array" ref="H212:K212">MMULT($C211:$F211,P_Matrix)</f>
        <v>902440.97113157704</v>
      </c>
      <c r="I212" s="14">
        <v>763410.69332091301</v>
      </c>
      <c r="J212" s="14">
        <v>43037.950190557691</v>
      </c>
      <c r="K212" s="14">
        <v>125005.66087073146</v>
      </c>
      <c r="M212" s="12">
        <f>MAX((Inputs!F$25*POWER(1+(Inputs!$C$3-(Inputs!$C$3*(('Steady State'!$A212-1)/Inputs!$C$4))),'Steady State'!$A212-1)),M211)</f>
        <v>47082.968753870031</v>
      </c>
      <c r="N212" s="12">
        <f>MAX((Inputs!G$25*POWER(1+(Inputs!$C$3-(Inputs!$C$3*(('Steady State'!$A212-1)/Inputs!$C$4))),'Steady State'!$A212-1)),N211)</f>
        <v>20178.415180230015</v>
      </c>
      <c r="O212" s="12">
        <v>0</v>
      </c>
      <c r="P212" s="12">
        <v>0</v>
      </c>
    </row>
    <row r="213" spans="1:16" x14ac:dyDescent="0.35">
      <c r="A213">
        <v>211</v>
      </c>
      <c r="C213" s="14">
        <f t="shared" si="13"/>
        <v>951851.84309657977</v>
      </c>
      <c r="D213" s="14">
        <f t="shared" si="14"/>
        <v>785763.30945483374</v>
      </c>
      <c r="E213" s="14">
        <f t="shared" si="15"/>
        <v>43153.900598200518</v>
      </c>
      <c r="F213" s="14">
        <f t="shared" si="12"/>
        <v>62752.878999237124</v>
      </c>
      <c r="H213" s="14" cm="1">
        <f t="array" ref="H213:K213">MMULT($C212:$F212,P_Matrix)</f>
        <v>904692.18959638732</v>
      </c>
      <c r="I213" s="14">
        <v>765552.02938332269</v>
      </c>
      <c r="J213" s="14">
        <v>43153.900598200518</v>
      </c>
      <c r="K213" s="14">
        <v>125339.71636893239</v>
      </c>
      <c r="M213" s="12">
        <f>MAX((Inputs!F$25*POWER(1+(Inputs!$C$3-(Inputs!$C$3*(('Steady State'!$A213-1)/Inputs!$C$4))),'Steady State'!$A213-1)),M212)</f>
        <v>47159.653500192449</v>
      </c>
      <c r="N213" s="12">
        <f>MAX((Inputs!G$25*POWER(1+(Inputs!$C$3-(Inputs!$C$3*(('Steady State'!$A213-1)/Inputs!$C$4))),'Steady State'!$A213-1)),N212)</f>
        <v>20211.28007151105</v>
      </c>
      <c r="O213" s="12">
        <v>0</v>
      </c>
      <c r="P213" s="12">
        <v>0</v>
      </c>
    </row>
    <row r="214" spans="1:16" x14ac:dyDescent="0.35">
      <c r="A214">
        <v>212</v>
      </c>
      <c r="C214" s="14">
        <f t="shared" si="13"/>
        <v>954148.33636169112</v>
      </c>
      <c r="D214" s="14">
        <f t="shared" si="14"/>
        <v>787913.26760102122</v>
      </c>
      <c r="E214" s="14">
        <f t="shared" si="15"/>
        <v>43268.49188443445</v>
      </c>
      <c r="F214" s="14">
        <f t="shared" si="12"/>
        <v>62916.929726092545</v>
      </c>
      <c r="H214" s="14" cm="1">
        <f t="array" ref="H214:K214">MMULT($C213:$F213,P_Matrix)</f>
        <v>906913.75566515338</v>
      </c>
      <c r="I214" s="14">
        <v>767669.87587393366</v>
      </c>
      <c r="J214" s="14">
        <v>43268.49188443445</v>
      </c>
      <c r="K214" s="14">
        <v>125669.80872532967</v>
      </c>
      <c r="M214" s="12">
        <f>MAX((Inputs!F$25*POWER(1+(Inputs!$C$3-(Inputs!$C$3*(('Steady State'!$A214-1)/Inputs!$C$4))),'Steady State'!$A214-1)),M213)</f>
        <v>47234.580696537691</v>
      </c>
      <c r="N214" s="12">
        <f>MAX((Inputs!G$25*POWER(1+(Inputs!$C$3-(Inputs!$C$3*(('Steady State'!$A214-1)/Inputs!$C$4))),'Steady State'!$A214-1)),N213)</f>
        <v>20243.391727087583</v>
      </c>
      <c r="O214" s="12">
        <v>0</v>
      </c>
      <c r="P214" s="12">
        <v>0</v>
      </c>
    </row>
    <row r="215" spans="1:16" x14ac:dyDescent="0.35">
      <c r="A215">
        <v>213</v>
      </c>
      <c r="C215" s="14">
        <f t="shared" si="13"/>
        <v>956413.15956201125</v>
      </c>
      <c r="D215" s="14">
        <f t="shared" si="14"/>
        <v>790038.74190709763</v>
      </c>
      <c r="E215" s="14">
        <f t="shared" si="15"/>
        <v>43381.711170287788</v>
      </c>
      <c r="F215" s="14">
        <f t="shared" si="12"/>
        <v>63078.971089989973</v>
      </c>
      <c r="H215" s="14" cm="1">
        <f t="array" ref="H215:K215">MMULT($C214:$F214,P_Matrix)</f>
        <v>909105.41804444324</v>
      </c>
      <c r="I215" s="14">
        <v>769763.99554242566</v>
      </c>
      <c r="J215" s="14">
        <v>43381.711170287788</v>
      </c>
      <c r="K215" s="14">
        <v>125995.90081608252</v>
      </c>
      <c r="M215" s="12">
        <f>MAX((Inputs!F$25*POWER(1+(Inputs!$C$3-(Inputs!$C$3*(('Steady State'!$A215-1)/Inputs!$C$4))),'Steady State'!$A215-1)),M214)</f>
        <v>47307.741517567971</v>
      </c>
      <c r="N215" s="12">
        <f>MAX((Inputs!G$25*POWER(1+(Inputs!$C$3-(Inputs!$C$3*(('Steady State'!$A215-1)/Inputs!$C$4))),'Steady State'!$A215-1)),N214)</f>
        <v>20274.746364671988</v>
      </c>
      <c r="O215" s="12">
        <v>0</v>
      </c>
      <c r="P215" s="12">
        <v>0</v>
      </c>
    </row>
    <row r="216" spans="1:16" x14ac:dyDescent="0.35">
      <c r="A216">
        <v>214</v>
      </c>
      <c r="C216" s="14">
        <f t="shared" si="13"/>
        <v>958646.05585956108</v>
      </c>
      <c r="D216" s="14">
        <f t="shared" si="14"/>
        <v>792139.49384799914</v>
      </c>
      <c r="E216" s="14">
        <f t="shared" si="15"/>
        <v>43493.545716863766</v>
      </c>
      <c r="F216" s="14">
        <f t="shared" si="12"/>
        <v>63238.984836645213</v>
      </c>
      <c r="H216" s="14" cm="1">
        <f t="array" ref="H216:K216">MMULT($C215:$F215,P_Matrix)</f>
        <v>911266.92852439021</v>
      </c>
      <c r="I216" s="14">
        <v>771834.15356149734</v>
      </c>
      <c r="J216" s="14">
        <v>43493.545716863766</v>
      </c>
      <c r="K216" s="14">
        <v>126317.95592663519</v>
      </c>
      <c r="M216" s="12">
        <f>MAX((Inputs!F$25*POWER(1+(Inputs!$C$3-(Inputs!$C$3*(('Steady State'!$A216-1)/Inputs!$C$4))),'Steady State'!$A216-1)),M215)</f>
        <v>47379.12733517083</v>
      </c>
      <c r="N216" s="12">
        <f>MAX((Inputs!G$25*POWER(1+(Inputs!$C$3-(Inputs!$C$3*(('Steady State'!$A216-1)/Inputs!$C$4))),'Steady State'!$A216-1)),N215)</f>
        <v>20305.340286501785</v>
      </c>
      <c r="O216" s="12">
        <v>0</v>
      </c>
      <c r="P216" s="12">
        <v>0</v>
      </c>
    </row>
    <row r="217" spans="1:16" x14ac:dyDescent="0.35">
      <c r="A217">
        <v>215</v>
      </c>
      <c r="C217" s="14">
        <f t="shared" si="13"/>
        <v>960846.77173832047</v>
      </c>
      <c r="D217" s="14">
        <f t="shared" si="14"/>
        <v>794215.2874387051</v>
      </c>
      <c r="E217" s="14">
        <f t="shared" si="15"/>
        <v>43603.982927193865</v>
      </c>
      <c r="F217" s="14">
        <f t="shared" si="12"/>
        <v>63396.952920442745</v>
      </c>
      <c r="H217" s="14" cm="1">
        <f t="array" ref="H217:K217">MMULT($C216:$F216,P_Matrix)</f>
        <v>913398.0420181537</v>
      </c>
      <c r="I217" s="14">
        <v>773880.11755863356</v>
      </c>
      <c r="J217" s="14">
        <v>43603.982927193865</v>
      </c>
      <c r="K217" s="14">
        <v>126635.93775708796</v>
      </c>
      <c r="M217" s="12">
        <f>MAX((Inputs!F$25*POWER(1+(Inputs!$C$3-(Inputs!$C$3*(('Steady State'!$A217-1)/Inputs!$C$4))),'Steady State'!$A217-1)),M216)</f>
        <v>47448.729720166819</v>
      </c>
      <c r="N217" s="12">
        <f>MAX((Inputs!G$25*POWER(1+(Inputs!$C$3-(Inputs!$C$3*(('Steady State'!$A217-1)/Inputs!$C$4))),'Steady State'!$A217-1)),N216)</f>
        <v>20335.169880071495</v>
      </c>
      <c r="O217" s="12">
        <v>0</v>
      </c>
      <c r="P217" s="12">
        <v>0</v>
      </c>
    </row>
    <row r="218" spans="1:16" x14ac:dyDescent="0.35">
      <c r="A218">
        <v>216</v>
      </c>
      <c r="C218" s="14">
        <f t="shared" si="13"/>
        <v>963015.0570451013</v>
      </c>
      <c r="D218" s="14">
        <f t="shared" si="14"/>
        <v>796265.88926674181</v>
      </c>
      <c r="E218" s="14">
        <f t="shared" si="15"/>
        <v>43713.010348086573</v>
      </c>
      <c r="F218" s="14">
        <f t="shared" si="12"/>
        <v>63552.857507109227</v>
      </c>
      <c r="H218" s="14" cm="1">
        <f t="array" ref="H218:K218">MMULT($C217:$F217,P_Matrix)</f>
        <v>915498.51660112769</v>
      </c>
      <c r="I218" s="14">
        <v>775901.65764789598</v>
      </c>
      <c r="J218" s="14">
        <v>43713.010348086573</v>
      </c>
      <c r="K218" s="14">
        <v>126949.81042755197</v>
      </c>
      <c r="M218" s="12">
        <f>MAX((Inputs!F$25*POWER(1+(Inputs!$C$3-(Inputs!$C$3*(('Steady State'!$A218-1)/Inputs!$C$4))),'Steady State'!$A218-1)),M217)</f>
        <v>47516.540443973652</v>
      </c>
      <c r="N218" s="12">
        <f>MAX((Inputs!G$25*POWER(1+(Inputs!$C$3-(Inputs!$C$3*(('Steady State'!$A218-1)/Inputs!$C$4))),'Steady State'!$A218-1)),N217)</f>
        <v>20364.23161884585</v>
      </c>
      <c r="O218" s="12">
        <v>0</v>
      </c>
      <c r="P218" s="12">
        <v>0</v>
      </c>
    </row>
    <row r="219" spans="1:16" x14ac:dyDescent="0.35">
      <c r="A219">
        <v>217</v>
      </c>
      <c r="C219" s="14">
        <f t="shared" si="13"/>
        <v>965150.66503007966</v>
      </c>
      <c r="D219" s="14">
        <f t="shared" si="14"/>
        <v>798291.06852465752</v>
      </c>
      <c r="E219" s="14">
        <f t="shared" si="15"/>
        <v>43820.615671970372</v>
      </c>
      <c r="F219" s="14">
        <f t="shared" si="12"/>
        <v>63706.680976376934</v>
      </c>
      <c r="H219" s="14" cm="1">
        <f t="array" ref="H219:K219">MMULT($C218:$F218,P_Matrix)</f>
        <v>917568.11354987114</v>
      </c>
      <c r="I219" s="14">
        <v>777898.54646171094</v>
      </c>
      <c r="J219" s="14">
        <v>43820.615671970372</v>
      </c>
      <c r="K219" s="14">
        <v>127259.53848348616</v>
      </c>
      <c r="M219" s="12">
        <f>MAX((Inputs!F$25*POWER(1+(Inputs!$C$3-(Inputs!$C$3*(('Steady State'!$A219-1)/Inputs!$C$4))),'Steady State'!$A219-1)),M218)</f>
        <v>47582.551480208553</v>
      </c>
      <c r="N219" s="12">
        <f>MAX((Inputs!G$25*POWER(1+(Inputs!$C$3-(Inputs!$C$3*(('Steady State'!$A219-1)/Inputs!$C$4))),'Steady State'!$A219-1)),N218)</f>
        <v>20392.522062946526</v>
      </c>
      <c r="O219" s="12">
        <v>0</v>
      </c>
      <c r="P219" s="12">
        <v>0</v>
      </c>
    </row>
    <row r="220" spans="1:16" x14ac:dyDescent="0.35">
      <c r="A220">
        <v>218</v>
      </c>
      <c r="C220" s="14">
        <f t="shared" si="13"/>
        <v>967253.35238700733</v>
      </c>
      <c r="D220" s="14">
        <f t="shared" si="14"/>
        <v>800290.5970424629</v>
      </c>
      <c r="E220" s="14">
        <f t="shared" si="15"/>
        <v>43926.786738729599</v>
      </c>
      <c r="F220" s="14">
        <f t="shared" si="12"/>
        <v>63858.40592463471</v>
      </c>
      <c r="H220" s="14" cm="1">
        <f t="array" ref="H220:K220">MMULT($C219:$F219,P_Matrix)</f>
        <v>919606.59738071845</v>
      </c>
      <c r="I220" s="14">
        <v>779870.5591826248</v>
      </c>
      <c r="J220" s="14">
        <v>43926.786738729599</v>
      </c>
      <c r="K220" s="14">
        <v>127565.08690101164</v>
      </c>
      <c r="M220" s="12">
        <f>MAX((Inputs!F$25*POWER(1+(Inputs!$C$3-(Inputs!$C$3*(('Steady State'!$A220-1)/Inputs!$C$4))),'Steady State'!$A220-1)),M219)</f>
        <v>47646.755006288899</v>
      </c>
      <c r="N220" s="12">
        <f>MAX((Inputs!G$25*POWER(1+(Inputs!$C$3-(Inputs!$C$3*(('Steady State'!$A220-1)/Inputs!$C$4))),'Steady State'!$A220-1)),N219)</f>
        <v>20420.037859838099</v>
      </c>
      <c r="O220" s="12">
        <v>0</v>
      </c>
      <c r="P220" s="12">
        <v>0</v>
      </c>
    </row>
    <row r="221" spans="1:16" x14ac:dyDescent="0.35">
      <c r="A221">
        <v>219</v>
      </c>
      <c r="C221" s="14">
        <f t="shared" si="13"/>
        <v>969322.87929304561</v>
      </c>
      <c r="D221" s="14">
        <f t="shared" si="14"/>
        <v>802264.2493199996</v>
      </c>
      <c r="E221" s="14">
        <f t="shared" si="15"/>
        <v>44031.511537532468</v>
      </c>
      <c r="F221" s="14">
        <f t="shared" si="12"/>
        <v>64008.015167566504</v>
      </c>
      <c r="H221" s="14" cm="1">
        <f t="array" ref="H221:K221">MMULT($C220:$F220,P_Matrix)</f>
        <v>921613.7358880844</v>
      </c>
      <c r="I221" s="14">
        <v>781817.47357501625</v>
      </c>
      <c r="J221" s="14">
        <v>44031.511537532468</v>
      </c>
      <c r="K221" s="14">
        <v>127866.42109220121</v>
      </c>
      <c r="M221" s="12">
        <f>MAX((Inputs!F$25*POWER(1+(Inputs!$C$3-(Inputs!$C$3*(('Steady State'!$A221-1)/Inputs!$C$4))),'Steady State'!$A221-1)),M220)</f>
        <v>47709.143404961163</v>
      </c>
      <c r="N221" s="12">
        <f>MAX((Inputs!G$25*POWER(1+(Inputs!$C$3-(Inputs!$C$3*(('Steady State'!$A221-1)/Inputs!$C$4))),'Steady State'!$A221-1)),N220)</f>
        <v>20446.775744983355</v>
      </c>
      <c r="O221" s="12">
        <v>0</v>
      </c>
      <c r="P221" s="12">
        <v>0</v>
      </c>
    </row>
    <row r="222" spans="1:16" x14ac:dyDescent="0.35">
      <c r="A222">
        <v>220</v>
      </c>
      <c r="C222" s="14">
        <f t="shared" si="13"/>
        <v>971359.00944822829</v>
      </c>
      <c r="D222" s="14">
        <f t="shared" si="14"/>
        <v>804211.80255922803</v>
      </c>
      <c r="E222" s="14">
        <f t="shared" si="15"/>
        <v>44134.778208649936</v>
      </c>
      <c r="F222" s="14">
        <f t="shared" si="12"/>
        <v>64155.491742774473</v>
      </c>
      <c r="H222" s="14" cm="1">
        <f t="array" ref="H222:K222">MMULT($C221:$F221,P_Matrix)</f>
        <v>923589.3001824161</v>
      </c>
      <c r="I222" s="14">
        <v>783739.0700167371</v>
      </c>
      <c r="J222" s="14">
        <v>44134.778208649936</v>
      </c>
      <c r="K222" s="14">
        <v>128163.50691034098</v>
      </c>
      <c r="M222" s="12">
        <f>MAX((Inputs!F$25*POWER(1+(Inputs!$C$3-(Inputs!$C$3*(('Steady State'!$A222-1)/Inputs!$C$4))),'Steady State'!$A222-1)),M221)</f>
        <v>47769.709265812155</v>
      </c>
      <c r="N222" s="12">
        <f>MAX((Inputs!G$25*POWER(1+(Inputs!$C$3-(Inputs!$C$3*(('Steady State'!$A222-1)/Inputs!$C$4))),'Steady State'!$A222-1)),N221)</f>
        <v>20472.732542490925</v>
      </c>
      <c r="O222" s="12">
        <v>0</v>
      </c>
      <c r="P222" s="12">
        <v>0</v>
      </c>
    </row>
    <row r="223" spans="1:16" x14ac:dyDescent="0.35">
      <c r="A223">
        <v>221</v>
      </c>
      <c r="C223" s="14">
        <f t="shared" si="13"/>
        <v>973361.51011453522</v>
      </c>
      <c r="D223" s="14">
        <f t="shared" si="14"/>
        <v>806133.03669641074</v>
      </c>
      <c r="E223" s="14">
        <f t="shared" si="15"/>
        <v>44236.575045264522</v>
      </c>
      <c r="F223" s="14">
        <f t="shared" si="12"/>
        <v>64300.818912386159</v>
      </c>
      <c r="H223" s="14" cm="1">
        <f t="array" ref="H223:K223">MMULT($C222:$F222,P_Matrix)</f>
        <v>925533.06472779182</v>
      </c>
      <c r="I223" s="14">
        <v>785635.13153066358</v>
      </c>
      <c r="J223" s="14">
        <v>44236.575045264522</v>
      </c>
      <c r="K223" s="14">
        <v>128456.31065516063</v>
      </c>
      <c r="M223" s="12">
        <f>MAX((Inputs!F$25*POWER(1+(Inputs!$C$3-(Inputs!$C$3*(('Steady State'!$A223-1)/Inputs!$C$4))),'Steady State'!$A223-1)),M222)</f>
        <v>47828.445386743464</v>
      </c>
      <c r="N223" s="12">
        <f>MAX((Inputs!G$25*POWER(1+(Inputs!$C$3-(Inputs!$C$3*(('Steady State'!$A223-1)/Inputs!$C$4))),'Steady State'!$A223-1)),N222)</f>
        <v>20497.905165747201</v>
      </c>
      <c r="O223" s="12">
        <v>0</v>
      </c>
      <c r="P223" s="12">
        <v>0</v>
      </c>
    </row>
    <row r="224" spans="1:16" x14ac:dyDescent="0.35">
      <c r="A224">
        <v>222</v>
      </c>
      <c r="C224" s="14">
        <f t="shared" si="13"/>
        <v>975330.15215453715</v>
      </c>
      <c r="D224" s="14">
        <f t="shared" si="14"/>
        <v>808027.73443416553</v>
      </c>
      <c r="E224" s="14">
        <f t="shared" si="15"/>
        <v>44336.890495268177</v>
      </c>
      <c r="F224" s="14">
        <f t="shared" si="12"/>
        <v>64443.980165644512</v>
      </c>
      <c r="H224" s="14" cm="1">
        <f t="array" ref="H224:K224">MMULT($C223:$F223,P_Matrix)</f>
        <v>927444.80737915356</v>
      </c>
      <c r="I224" s="14">
        <v>787505.44381614402</v>
      </c>
      <c r="J224" s="14">
        <v>44336.890495268177</v>
      </c>
      <c r="K224" s="14">
        <v>128744.79907803067</v>
      </c>
      <c r="M224" s="12">
        <f>MAX((Inputs!F$25*POWER(1+(Inputs!$C$3-(Inputs!$C$3*(('Steady State'!$A224-1)/Inputs!$C$4))),'Steady State'!$A224-1)),M223)</f>
        <v>47885.344775383601</v>
      </c>
      <c r="N224" s="12">
        <f>MAX((Inputs!G$25*POWER(1+(Inputs!$C$3-(Inputs!$C$3*(('Steady State'!$A224-1)/Inputs!$C$4))),'Steady State'!$A224-1)),N223)</f>
        <v>20522.290618021543</v>
      </c>
      <c r="O224" s="12">
        <v>0</v>
      </c>
      <c r="P224" s="12">
        <v>0</v>
      </c>
    </row>
    <row r="225" spans="1:16" x14ac:dyDescent="0.35">
      <c r="A225">
        <v>223</v>
      </c>
      <c r="C225" s="14">
        <f t="shared" si="13"/>
        <v>977264.71006961749</v>
      </c>
      <c r="D225" s="14">
        <f t="shared" si="14"/>
        <v>809895.68127337599</v>
      </c>
      <c r="E225" s="14">
        <f t="shared" si="15"/>
        <v>44435.713163047934</v>
      </c>
      <c r="F225" s="14">
        <f t="shared" si="12"/>
        <v>64584.959221478122</v>
      </c>
      <c r="H225" s="14" cm="1">
        <f t="array" ref="H225:K225">MMULT($C224:$F224,P_Matrix)</f>
        <v>929324.30941913335</v>
      </c>
      <c r="I225" s="14">
        <v>789349.79528031137</v>
      </c>
      <c r="J225" s="14">
        <v>44435.713163047934</v>
      </c>
      <c r="K225" s="14">
        <v>129028.93938712263</v>
      </c>
      <c r="M225" s="12">
        <f>MAX((Inputs!F$25*POWER(1+(Inputs!$C$3-(Inputs!$C$3*(('Steady State'!$A225-1)/Inputs!$C$4))),'Steady State'!$A225-1)),M224)</f>
        <v>47940.400650484124</v>
      </c>
      <c r="N225" s="12">
        <f>MAX((Inputs!G$25*POWER(1+(Inputs!$C$3-(Inputs!$C$3*(('Steady State'!$A225-1)/Inputs!$C$4))),'Steady State'!$A225-1)),N224)</f>
        <v>20545.885993064625</v>
      </c>
      <c r="O225" s="12">
        <v>0</v>
      </c>
      <c r="P225" s="12">
        <v>0</v>
      </c>
    </row>
    <row r="226" spans="1:16" x14ac:dyDescent="0.35">
      <c r="A226">
        <v>224</v>
      </c>
      <c r="C226" s="14">
        <f t="shared" si="13"/>
        <v>979164.96203773969</v>
      </c>
      <c r="D226" s="14">
        <f t="shared" si="14"/>
        <v>811736.66554493515</v>
      </c>
      <c r="E226" s="14">
        <f t="shared" si="15"/>
        <v>44533.031811258697</v>
      </c>
      <c r="F226" s="14">
        <f t="shared" si="12"/>
        <v>64723.740031051791</v>
      </c>
      <c r="H226" s="14" cm="1">
        <f t="array" ref="H226:K226">MMULT($C225:$F225,P_Matrix)</f>
        <v>931171.35559447901</v>
      </c>
      <c r="I226" s="14">
        <v>791167.97706925194</v>
      </c>
      <c r="J226" s="14">
        <v>44533.031811258697</v>
      </c>
      <c r="K226" s="14">
        <v>129308.69925252991</v>
      </c>
      <c r="M226" s="12">
        <f>MAX((Inputs!F$25*POWER(1+(Inputs!$C$3-(Inputs!$C$3*(('Steady State'!$A226-1)/Inputs!$C$4))),'Steady State'!$A226-1)),M225)</f>
        <v>47993.606443260702</v>
      </c>
      <c r="N226" s="12">
        <f>MAX((Inputs!G$25*POWER(1+(Inputs!$C$3-(Inputs!$C$3*(('Steady State'!$A226-1)/Inputs!$C$4))),'Steady State'!$A226-1)),N225)</f>
        <v>20568.688475683161</v>
      </c>
      <c r="O226" s="12">
        <v>0</v>
      </c>
      <c r="P226" s="12">
        <v>0</v>
      </c>
    </row>
    <row r="227" spans="1:16" x14ac:dyDescent="0.35">
      <c r="A227">
        <v>225</v>
      </c>
      <c r="C227" s="14">
        <f t="shared" si="13"/>
        <v>981030.68995075312</v>
      </c>
      <c r="D227" s="14">
        <f t="shared" si="14"/>
        <v>813550.47844130709</v>
      </c>
      <c r="E227" s="14">
        <f t="shared" si="15"/>
        <v>44628.835362581965</v>
      </c>
      <c r="F227" s="14">
        <f t="shared" si="12"/>
        <v>64860.30678029493</v>
      </c>
      <c r="H227" s="14" cm="1">
        <f t="array" ref="H227:K227">MMULT($C226:$F226,P_Matrix)</f>
        <v>932985.73415205057</v>
      </c>
      <c r="I227" s="14">
        <v>792959.78309900605</v>
      </c>
      <c r="J227" s="14">
        <v>44628.835362581965</v>
      </c>
      <c r="K227" s="14">
        <v>129584.04681134672</v>
      </c>
      <c r="M227" s="12">
        <f>MAX((Inputs!F$25*POWER(1+(Inputs!$C$3-(Inputs!$C$3*(('Steady State'!$A227-1)/Inputs!$C$4))),'Steady State'!$A227-1)),M226)</f>
        <v>48044.955798702525</v>
      </c>
      <c r="N227" s="12">
        <f>MAX((Inputs!G$25*POWER(1+(Inputs!$C$3-(Inputs!$C$3*(('Steady State'!$A227-1)/Inputs!$C$4))),'Steady State'!$A227-1)),N226)</f>
        <v>20590.695342301082</v>
      </c>
      <c r="O227" s="12">
        <v>0</v>
      </c>
      <c r="P227" s="12">
        <v>0</v>
      </c>
    </row>
    <row r="228" spans="1:16" x14ac:dyDescent="0.35">
      <c r="A228">
        <v>226</v>
      </c>
      <c r="C228" s="14">
        <f t="shared" si="13"/>
        <v>982861.67945121485</v>
      </c>
      <c r="D228" s="14">
        <f t="shared" si="14"/>
        <v>815336.91404788697</v>
      </c>
      <c r="E228" s="14">
        <f t="shared" si="15"/>
        <v>44723.11290146978</v>
      </c>
      <c r="F228" s="14">
        <f t="shared" si="12"/>
        <v>64994.643892407294</v>
      </c>
      <c r="H228" s="14" cm="1">
        <f t="array" ref="H228:K228">MMULT($C227:$F227,P_Matrix)</f>
        <v>934767.2368743791</v>
      </c>
      <c r="I228" s="14">
        <v>794725.01008638588</v>
      </c>
      <c r="J228" s="14">
        <v>44723.11290146978</v>
      </c>
      <c r="K228" s="14">
        <v>129854.95067270222</v>
      </c>
      <c r="M228" s="12">
        <f>MAX((Inputs!F$25*POWER(1+(Inputs!$C$3-(Inputs!$C$3*(('Steady State'!$A228-1)/Inputs!$C$4))),'Steady State'!$A228-1)),M227)</f>
        <v>48094.44257683574</v>
      </c>
      <c r="N228" s="12">
        <f>MAX((Inputs!G$25*POWER(1+(Inputs!$C$3-(Inputs!$C$3*(('Steady State'!$A228-1)/Inputs!$C$4))),'Steady State'!$A228-1)),N227)</f>
        <v>20611.90396150103</v>
      </c>
      <c r="O228" s="12">
        <v>0</v>
      </c>
      <c r="P228" s="12">
        <v>0</v>
      </c>
    </row>
    <row r="229" spans="1:16" x14ac:dyDescent="0.35">
      <c r="A229">
        <v>227</v>
      </c>
      <c r="C229" s="14">
        <f t="shared" si="13"/>
        <v>984657.71996871033</v>
      </c>
      <c r="D229" s="14">
        <f t="shared" si="14"/>
        <v>817095.76937413716</v>
      </c>
      <c r="E229" s="14">
        <f t="shared" si="15"/>
        <v>44815.853675872888</v>
      </c>
      <c r="F229" s="14">
        <f t="shared" si="12"/>
        <v>65126.736030340493</v>
      </c>
      <c r="H229" s="14" cm="1">
        <f t="array" ref="H229:K229">MMULT($C228:$F228,P_Matrix)</f>
        <v>936515.6591147678</v>
      </c>
      <c r="I229" s="14">
        <v>796463.45757959038</v>
      </c>
      <c r="J229" s="14">
        <v>44815.853675872888</v>
      </c>
      <c r="K229" s="14">
        <v>130121.37992274779</v>
      </c>
      <c r="M229" s="12">
        <f>MAX((Inputs!F$25*POWER(1+(Inputs!$C$3-(Inputs!$C$3*(('Steady State'!$A229-1)/Inputs!$C$4))),'Steady State'!$A229-1)),M228)</f>
        <v>48142.060853942479</v>
      </c>
      <c r="N229" s="12">
        <f>MAX((Inputs!G$25*POWER(1+(Inputs!$C$3-(Inputs!$C$3*(('Steady State'!$A229-1)/Inputs!$C$4))),'Steady State'!$A229-1)),N228)</f>
        <v>20632.311794546775</v>
      </c>
      <c r="O229" s="12">
        <v>0</v>
      </c>
      <c r="P229" s="12">
        <v>0</v>
      </c>
    </row>
    <row r="230" spans="1:16" x14ac:dyDescent="0.35">
      <c r="A230">
        <v>228</v>
      </c>
      <c r="C230" s="14">
        <f t="shared" si="13"/>
        <v>986418.60475566774</v>
      </c>
      <c r="D230" s="14">
        <f t="shared" si="14"/>
        <v>818826.84438449156</v>
      </c>
      <c r="E230" s="14">
        <f t="shared" si="15"/>
        <v>44907.047098952207</v>
      </c>
      <c r="F230" s="14">
        <f t="shared" si="12"/>
        <v>65256.568099253658</v>
      </c>
      <c r="H230" s="14" cm="1">
        <f t="array" ref="H230:K230">MMULT($C229:$F229,P_Matrix)</f>
        <v>938230.79983191635</v>
      </c>
      <c r="I230" s="14">
        <v>798174.92798859812</v>
      </c>
      <c r="J230" s="14">
        <v>44907.047098952207</v>
      </c>
      <c r="K230" s="14">
        <v>130383.30412959415</v>
      </c>
      <c r="M230" s="12">
        <f>MAX((Inputs!F$25*POWER(1+(Inputs!$C$3-(Inputs!$C$3*(('Steady State'!$A230-1)/Inputs!$C$4))),'Steady State'!$A230-1)),M229)</f>
        <v>48187.80492375137</v>
      </c>
      <c r="N230" s="12">
        <f>MAX((Inputs!G$25*POWER(1+(Inputs!$C$3-(Inputs!$C$3*(('Steady State'!$A230-1)/Inputs!$C$4))),'Steady State'!$A230-1)),N229)</f>
        <v>20651.916395893444</v>
      </c>
      <c r="O230" s="12">
        <v>0</v>
      </c>
      <c r="P230" s="12">
        <v>0</v>
      </c>
    </row>
    <row r="231" spans="1:16" x14ac:dyDescent="0.35">
      <c r="A231">
        <v>229</v>
      </c>
      <c r="C231" s="14">
        <f t="shared" si="13"/>
        <v>988144.13092263148</v>
      </c>
      <c r="D231" s="14">
        <f t="shared" si="14"/>
        <v>820529.94202899816</v>
      </c>
      <c r="E231" s="14">
        <f t="shared" si="15"/>
        <v>44996.682750772918</v>
      </c>
      <c r="F231" s="14">
        <f t="shared" si="12"/>
        <v>65384.125248942823</v>
      </c>
      <c r="H231" s="14" cm="1">
        <f t="array" ref="H231:K231">MMULT($C230:$F230,P_Matrix)</f>
        <v>939912.46162406763</v>
      </c>
      <c r="I231" s="14">
        <v>799859.22661532788</v>
      </c>
      <c r="J231" s="14">
        <v>44996.682750772918</v>
      </c>
      <c r="K231" s="14">
        <v>130640.69334819648</v>
      </c>
      <c r="M231" s="12">
        <f>MAX((Inputs!F$25*POWER(1+(Inputs!$C$3-(Inputs!$C$3*(('Steady State'!$A231-1)/Inputs!$C$4))),'Steady State'!$A231-1)),M230)</f>
        <v>48231.669298563902</v>
      </c>
      <c r="N231" s="12">
        <f>MAX((Inputs!G$25*POWER(1+(Inputs!$C$3-(Inputs!$C$3*(('Steady State'!$A231-1)/Inputs!$C$4))),'Steady State'!$A231-1)),N230)</f>
        <v>20670.715413670241</v>
      </c>
      <c r="O231" s="12">
        <v>0</v>
      </c>
      <c r="P231" s="12">
        <v>0</v>
      </c>
    </row>
    <row r="232" spans="1:16" x14ac:dyDescent="0.35">
      <c r="A232">
        <v>230</v>
      </c>
      <c r="C232" s="14">
        <f t="shared" si="13"/>
        <v>989834.09947300446</v>
      </c>
      <c r="D232" s="14">
        <f t="shared" si="14"/>
        <v>822204.86827369535</v>
      </c>
      <c r="E232" s="14">
        <f t="shared" si="15"/>
        <v>45084.750379980047</v>
      </c>
      <c r="F232" s="14">
        <f t="shared" si="12"/>
        <v>65509.392876242106</v>
      </c>
      <c r="H232" s="14" cm="1">
        <f t="array" ref="H232:K232">MMULT($C231:$F231,P_Matrix)</f>
        <v>941560.45076264068</v>
      </c>
      <c r="I232" s="14">
        <v>801516.16168353951</v>
      </c>
      <c r="J232" s="14">
        <v>45084.750379980047</v>
      </c>
      <c r="K232" s="14">
        <v>130893.51812518493</v>
      </c>
      <c r="M232" s="12">
        <f>MAX((Inputs!F$25*POWER(1+(Inputs!$C$3-(Inputs!$C$3*(('Steady State'!$A232-1)/Inputs!$C$4))),'Steady State'!$A232-1)),M231)</f>
        <v>48273.648710363726</v>
      </c>
      <c r="N232" s="12">
        <f>MAX((Inputs!G$25*POWER(1+(Inputs!$C$3-(Inputs!$C$3*(('Steady State'!$A232-1)/Inputs!$C$4))),'Steady State'!$A232-1)),N231)</f>
        <v>20688.706590155882</v>
      </c>
      <c r="O232" s="12">
        <v>0</v>
      </c>
      <c r="P232" s="12">
        <v>0</v>
      </c>
    </row>
    <row r="233" spans="1:16" x14ac:dyDescent="0.35">
      <c r="A233">
        <v>231</v>
      </c>
      <c r="C233" s="14">
        <f t="shared" si="13"/>
        <v>991488.31533722219</v>
      </c>
      <c r="D233" s="14">
        <f t="shared" si="14"/>
        <v>823851.43213069672</v>
      </c>
      <c r="E233" s="14">
        <f t="shared" si="15"/>
        <v>45171.239905455026</v>
      </c>
      <c r="F233" s="14">
        <f t="shared" si="12"/>
        <v>65632.356627395988</v>
      </c>
      <c r="H233" s="14" cm="1">
        <f t="array" ref="H233:K233">MMULT($C232:$F232,P_Matrix)</f>
        <v>943174.57722535916</v>
      </c>
      <c r="I233" s="14">
        <v>803145.54436846974</v>
      </c>
      <c r="J233" s="14">
        <v>45171.239905455026</v>
      </c>
      <c r="K233" s="14">
        <v>131141.7495036381</v>
      </c>
      <c r="M233" s="12">
        <f>MAX((Inputs!F$25*POWER(1+(Inputs!$C$3-(Inputs!$C$3*(('Steady State'!$A233-1)/Inputs!$C$4))),'Steady State'!$A233-1)),M232)</f>
        <v>48313.738111863036</v>
      </c>
      <c r="N233" s="12">
        <f>MAX((Inputs!G$25*POWER(1+(Inputs!$C$3-(Inputs!$C$3*(('Steady State'!$A233-1)/Inputs!$C$4))),'Steady State'!$A233-1)),N232)</f>
        <v>20705.887762227016</v>
      </c>
      <c r="O233" s="12">
        <v>0</v>
      </c>
      <c r="P233" s="12">
        <v>0</v>
      </c>
    </row>
    <row r="234" spans="1:16" x14ac:dyDescent="0.35">
      <c r="A234">
        <v>232</v>
      </c>
      <c r="C234" s="14">
        <f t="shared" si="13"/>
        <v>993106.587406351</v>
      </c>
      <c r="D234" s="14">
        <f t="shared" si="14"/>
        <v>825469.44568796887</v>
      </c>
      <c r="E234" s="14">
        <f t="shared" si="15"/>
        <v>45256.141417952203</v>
      </c>
      <c r="F234" s="14">
        <f t="shared" si="12"/>
        <v>65753.00240040131</v>
      </c>
      <c r="H234" s="14" cm="1">
        <f t="array" ref="H234:K234">MMULT($C233:$F233,P_Matrix)</f>
        <v>944754.65472884127</v>
      </c>
      <c r="I234" s="14">
        <v>804747.18882617902</v>
      </c>
      <c r="J234" s="14">
        <v>45256.141417952203</v>
      </c>
      <c r="K234" s="14">
        <v>131385.3590277973</v>
      </c>
      <c r="M234" s="12">
        <f>MAX((Inputs!F$25*POWER(1+(Inputs!$C$3-(Inputs!$C$3*(('Steady State'!$A234-1)/Inputs!$C$4))),'Steady State'!$A234-1)),M233)</f>
        <v>48351.932677509743</v>
      </c>
      <c r="N234" s="12">
        <f>MAX((Inputs!G$25*POWER(1+(Inputs!$C$3-(Inputs!$C$3*(('Steady State'!$A234-1)/Inputs!$C$4))),'Steady State'!$A234-1)),N233)</f>
        <v>20722.256861789891</v>
      </c>
      <c r="O234" s="12">
        <v>0</v>
      </c>
      <c r="P234" s="12">
        <v>0</v>
      </c>
    </row>
    <row r="235" spans="1:16" x14ac:dyDescent="0.35">
      <c r="A235">
        <v>233</v>
      </c>
      <c r="C235" s="14">
        <f t="shared" si="13"/>
        <v>994688.72856511828</v>
      </c>
      <c r="D235" s="14">
        <f t="shared" si="14"/>
        <v>827058.72413879808</v>
      </c>
      <c r="E235" s="14">
        <f t="shared" si="15"/>
        <v>45339.445181714516</v>
      </c>
      <c r="F235" s="14">
        <f t="shared" si="12"/>
        <v>65871.316347317625</v>
      </c>
      <c r="H235" s="14" cm="1">
        <f t="array" ref="H235:K235">MMULT($C234:$F234,P_Matrix)</f>
        <v>946300.50076064467</v>
      </c>
      <c r="I235" s="14">
        <v>806320.91222259507</v>
      </c>
      <c r="J235" s="14">
        <v>45339.445181714516</v>
      </c>
      <c r="K235" s="14">
        <v>131624.31874771893</v>
      </c>
      <c r="M235" s="12">
        <f>MAX((Inputs!F$25*POWER(1+(Inputs!$C$3-(Inputs!$C$3*(('Steady State'!$A235-1)/Inputs!$C$4))),'Steady State'!$A235-1)),M234)</f>
        <v>48388.227804473565</v>
      </c>
      <c r="N235" s="12">
        <f>MAX((Inputs!G$25*POWER(1+(Inputs!$C$3-(Inputs!$C$3*(('Steady State'!$A235-1)/Inputs!$C$4))),'Steady State'!$A235-1)),N234)</f>
        <v>20737.811916202954</v>
      </c>
      <c r="O235" s="12">
        <v>0</v>
      </c>
      <c r="P235" s="12">
        <v>0</v>
      </c>
    </row>
    <row r="236" spans="1:16" x14ac:dyDescent="0.35">
      <c r="A236">
        <v>234</v>
      </c>
      <c r="C236" s="14">
        <f t="shared" si="13"/>
        <v>996234.55572431069</v>
      </c>
      <c r="D236" s="14">
        <f t="shared" si="14"/>
        <v>828619.08581090625</v>
      </c>
      <c r="E236" s="14">
        <f t="shared" si="15"/>
        <v>45421.14163606787</v>
      </c>
      <c r="F236" s="14">
        <f t="shared" si="12"/>
        <v>65987.284876546124</v>
      </c>
      <c r="H236" s="14" cm="1">
        <f t="array" ref="H236:K236">MMULT($C235:$F235,P_Matrix)</f>
        <v>947811.93661077053</v>
      </c>
      <c r="I236" s="14">
        <v>807866.53476224618</v>
      </c>
      <c r="J236" s="14">
        <v>45421.14163606787</v>
      </c>
      <c r="K236" s="14">
        <v>131858.60122386375</v>
      </c>
      <c r="M236" s="12">
        <f>MAX((Inputs!F$25*POWER(1+(Inputs!$C$3-(Inputs!$C$3*(('Steady State'!$A236-1)/Inputs!$C$4))),'Steady State'!$A236-1)),M235)</f>
        <v>48422.619113540139</v>
      </c>
      <c r="N236" s="12">
        <f>MAX((Inputs!G$25*POWER(1+(Inputs!$C$3-(Inputs!$C$3*(('Steady State'!$A236-1)/Inputs!$C$4))),'Steady State'!$A236-1)),N235)</f>
        <v>20752.551048660061</v>
      </c>
      <c r="O236" s="12">
        <v>0</v>
      </c>
      <c r="P236" s="12">
        <v>0</v>
      </c>
    </row>
    <row r="237" spans="1:16" x14ac:dyDescent="0.35">
      <c r="A237">
        <v>235</v>
      </c>
      <c r="C237" s="14">
        <f t="shared" si="13"/>
        <v>997743.88985259412</v>
      </c>
      <c r="D237" s="14">
        <f t="shared" si="14"/>
        <v>830150.35219523334</v>
      </c>
      <c r="E237" s="14">
        <f t="shared" si="15"/>
        <v>45501.221396992893</v>
      </c>
      <c r="F237" s="14">
        <f t="shared" si="12"/>
        <v>66100.894655073469</v>
      </c>
      <c r="H237" s="14" cm="1">
        <f t="array" ref="H237:K237">MMULT($C236:$F236,P_Matrix)</f>
        <v>949288.7874025678</v>
      </c>
      <c r="I237" s="14">
        <v>809383.87971665058</v>
      </c>
      <c r="J237" s="14">
        <v>45501.221396992893</v>
      </c>
      <c r="K237" s="14">
        <v>132088.17953161959</v>
      </c>
      <c r="M237" s="12">
        <f>MAX((Inputs!F$25*POWER(1+(Inputs!$C$3-(Inputs!$C$3*(('Steady State'!$A237-1)/Inputs!$C$4))),'Steady State'!$A237-1)),M236)</f>
        <v>48455.102450026359</v>
      </c>
      <c r="N237" s="12">
        <f>MAX((Inputs!G$25*POWER(1+(Inputs!$C$3-(Inputs!$C$3*(('Steady State'!$A237-1)/Inputs!$C$4))),'Steady State'!$A237-1)),N236)</f>
        <v>20766.472478582727</v>
      </c>
      <c r="O237" s="12">
        <v>0</v>
      </c>
      <c r="P237" s="12">
        <v>0</v>
      </c>
    </row>
    <row r="238" spans="1:16" x14ac:dyDescent="0.35">
      <c r="A238">
        <v>236</v>
      </c>
      <c r="C238" s="14">
        <f t="shared" si="13"/>
        <v>999216.55600767548</v>
      </c>
      <c r="D238" s="14">
        <f t="shared" si="14"/>
        <v>831652.34797433845</v>
      </c>
      <c r="E238" s="14">
        <f t="shared" si="15"/>
        <v>45579.675258674011</v>
      </c>
      <c r="F238" s="14">
        <f t="shared" si="12"/>
        <v>66212.132610683038</v>
      </c>
      <c r="H238" s="14" cm="1">
        <f t="array" ref="H238:K238">MMULT($C237:$F237,P_Matrix)</f>
        <v>950730.88212308998</v>
      </c>
      <c r="I238" s="14">
        <v>810872.77345237322</v>
      </c>
      <c r="J238" s="14">
        <v>45579.675258674011</v>
      </c>
      <c r="K238" s="14">
        <v>132313.02726575651</v>
      </c>
      <c r="M238" s="12">
        <f>MAX((Inputs!F$25*POWER(1+(Inputs!$C$3-(Inputs!$C$3*(('Steady State'!$A238-1)/Inputs!$C$4))),'Steady State'!$A238-1)),M237)</f>
        <v>48485.673884585492</v>
      </c>
      <c r="N238" s="12">
        <f>MAX((Inputs!G$25*POWER(1+(Inputs!$C$3-(Inputs!$C$3*(('Steady State'!$A238-1)/Inputs!$C$4))),'Steady State'!$A238-1)),N237)</f>
        <v>20779.574521965213</v>
      </c>
      <c r="O238" s="12">
        <v>0</v>
      </c>
      <c r="P238" s="12">
        <v>0</v>
      </c>
    </row>
    <row r="239" spans="1:16" x14ac:dyDescent="0.35">
      <c r="A239">
        <v>237</v>
      </c>
      <c r="C239" s="14">
        <f t="shared" si="13"/>
        <v>1000652.3833668395</v>
      </c>
      <c r="D239" s="14">
        <f t="shared" si="14"/>
        <v>833124.90105042898</v>
      </c>
      <c r="E239" s="14">
        <f t="shared" si="15"/>
        <v>45656.494195024541</v>
      </c>
      <c r="F239" s="14">
        <f t="shared" si="12"/>
        <v>66320.985934128927</v>
      </c>
      <c r="H239" s="14" cm="1">
        <f t="array" ref="H239:K239">MMULT($C238:$F238,P_Matrix)</f>
        <v>952138.05365282565</v>
      </c>
      <c r="I239" s="14">
        <v>812333.04545870877</v>
      </c>
      <c r="J239" s="14">
        <v>45656.494195024541</v>
      </c>
      <c r="K239" s="14">
        <v>132533.11854481196</v>
      </c>
      <c r="M239" s="12">
        <f>MAX((Inputs!F$25*POWER(1+(Inputs!$C$3-(Inputs!$C$3*(('Steady State'!$A239-1)/Inputs!$C$4))),'Steady State'!$A239-1)),M238)</f>
        <v>48514.329714013846</v>
      </c>
      <c r="N239" s="12">
        <f>MAX((Inputs!G$25*POWER(1+(Inputs!$C$3-(Inputs!$C$3*(('Steady State'!$A239-1)/Inputs!$C$4))),'Steady State'!$A239-1)),N238)</f>
        <v>20791.855591720221</v>
      </c>
      <c r="O239" s="12">
        <v>0</v>
      </c>
      <c r="P239" s="12">
        <v>0</v>
      </c>
    </row>
    <row r="240" spans="1:16" x14ac:dyDescent="0.35">
      <c r="A240">
        <v>238</v>
      </c>
      <c r="C240" s="14">
        <f t="shared" si="13"/>
        <v>1002051.2052568393</v>
      </c>
      <c r="D240" s="14">
        <f t="shared" si="14"/>
        <v>834567.84257299686</v>
      </c>
      <c r="E240" s="14">
        <f t="shared" si="15"/>
        <v>45731.669361187407</v>
      </c>
      <c r="F240" s="14">
        <f t="shared" si="12"/>
        <v>66427.442081274174</v>
      </c>
      <c r="H240" s="14" cm="1">
        <f t="array" ref="H240:K240">MMULT($C239:$F239,P_Matrix)</f>
        <v>953510.13879483589</v>
      </c>
      <c r="I240" s="14">
        <v>813764.52837499545</v>
      </c>
      <c r="J240" s="14">
        <v>45731.669361187407</v>
      </c>
      <c r="K240" s="14">
        <v>132748.4280154031</v>
      </c>
      <c r="M240" s="12">
        <f>MAX((Inputs!F$25*POWER(1+(Inputs!$C$3-(Inputs!$C$3*(('Steady State'!$A240-1)/Inputs!$C$4))),'Steady State'!$A240-1)),M239)</f>
        <v>48541.066462003349</v>
      </c>
      <c r="N240" s="12">
        <f>MAX((Inputs!G$25*POWER(1+(Inputs!$C$3-(Inputs!$C$3*(('Steady State'!$A240-1)/Inputs!$C$4))),'Steady State'!$A240-1)),N239)</f>
        <v>20803.314198001437</v>
      </c>
      <c r="O240" s="12">
        <v>0</v>
      </c>
      <c r="P240" s="12">
        <v>0</v>
      </c>
    </row>
    <row r="241" spans="1:16" x14ac:dyDescent="0.35">
      <c r="A241">
        <v>239</v>
      </c>
      <c r="C241" s="14">
        <f t="shared" si="13"/>
        <v>1003412.8591831051</v>
      </c>
      <c r="D241" s="14">
        <f t="shared" si="14"/>
        <v>835981.00696604059</v>
      </c>
      <c r="E241" s="14">
        <f t="shared" si="15"/>
        <v>45805.192095010803</v>
      </c>
      <c r="F241" s="14">
        <f t="shared" si="12"/>
        <v>66531.488775191945</v>
      </c>
      <c r="H241" s="14" cm="1">
        <f t="array" ref="H241:K241">MMULT($C240:$F240,P_Matrix)</f>
        <v>954846.97830327763</v>
      </c>
      <c r="I241" s="14">
        <v>815167.05801754317</v>
      </c>
      <c r="J241" s="14">
        <v>45805.192095010803</v>
      </c>
      <c r="K241" s="14">
        <v>132958.93085646612</v>
      </c>
      <c r="M241" s="12">
        <f>MAX((Inputs!F$25*POWER(1+(Inputs!$C$3-(Inputs!$C$3*(('Steady State'!$A241-1)/Inputs!$C$4))),'Steady State'!$A241-1)),M240)</f>
        <v>48565.880879827426</v>
      </c>
      <c r="N241" s="12">
        <f>MAX((Inputs!G$25*POWER(1+(Inputs!$C$3-(Inputs!$C$3*(('Steady State'!$A241-1)/Inputs!$C$4))),'Steady State'!$A241-1)),N240)</f>
        <v>20813.948948497466</v>
      </c>
      <c r="O241" s="12">
        <v>0</v>
      </c>
      <c r="P241" s="12">
        <v>0</v>
      </c>
    </row>
    <row r="242" spans="1:16" x14ac:dyDescent="0.35">
      <c r="A242">
        <v>240</v>
      </c>
      <c r="C242" s="14">
        <f t="shared" si="13"/>
        <v>1004737.1868582992</v>
      </c>
      <c r="D242" s="14">
        <f t="shared" si="14"/>
        <v>837364.23195487354</v>
      </c>
      <c r="E242" s="14">
        <f t="shared" si="15"/>
        <v>45877.053918497935</v>
      </c>
      <c r="F242" s="14">
        <f t="shared" si="12"/>
        <v>66633.114008227072</v>
      </c>
      <c r="H242" s="14" cm="1">
        <f t="array" ref="H242:K242">MMULT($C241:$F241,P_Matrix)</f>
        <v>956148.41691128025</v>
      </c>
      <c r="I242" s="14">
        <v>816540.47340615117</v>
      </c>
      <c r="J242" s="14">
        <v>45877.053918497935</v>
      </c>
      <c r="K242" s="14">
        <v>133164.60278341902</v>
      </c>
      <c r="M242" s="12">
        <f>MAX((Inputs!F$25*POWER(1+(Inputs!$C$3-(Inputs!$C$3*(('Steady State'!$A242-1)/Inputs!$C$4))),'Steady State'!$A242-1)),M241)</f>
        <v>48588.769947018991</v>
      </c>
      <c r="N242" s="12">
        <f>MAX((Inputs!G$25*POWER(1+(Inputs!$C$3-(Inputs!$C$3*(('Steady State'!$A242-1)/Inputs!$C$4))),'Steady State'!$A242-1)),N241)</f>
        <v>20823.758548722424</v>
      </c>
      <c r="O242" s="12">
        <v>0</v>
      </c>
      <c r="P242" s="12">
        <v>0</v>
      </c>
    </row>
    <row r="243" spans="1:16" x14ac:dyDescent="0.35">
      <c r="A243">
        <v>241</v>
      </c>
      <c r="C243" s="14">
        <f t="shared" si="13"/>
        <v>1006024.0342301622</v>
      </c>
      <c r="D243" s="14">
        <f t="shared" si="14"/>
        <v>838717.35859249043</v>
      </c>
      <c r="E243" s="14">
        <f t="shared" si="15"/>
        <v>45947.246539230488</v>
      </c>
      <c r="F243" s="14">
        <f t="shared" si="12"/>
        <v>66732.306044019671</v>
      </c>
      <c r="H243" s="14" cm="1">
        <f t="array" ref="H243:K243">MMULT($C242:$F242,P_Matrix)</f>
        <v>957414.30335819966</v>
      </c>
      <c r="I243" s="14">
        <v>817884.61679022072</v>
      </c>
      <c r="J243" s="14">
        <v>45947.246539230488</v>
      </c>
      <c r="K243" s="14">
        <v>133365.42005224674</v>
      </c>
      <c r="M243" s="12">
        <f>MAX((Inputs!F$25*POWER(1+(Inputs!$C$3-(Inputs!$C$3*(('Steady State'!$A243-1)/Inputs!$C$4))),'Steady State'!$A243-1)),M242)</f>
        <v>48609.730871962558</v>
      </c>
      <c r="N243" s="12">
        <f>MAX((Inputs!G$25*POWER(1+(Inputs!$C$3-(Inputs!$C$3*(('Steady State'!$A243-1)/Inputs!$C$4))),'Steady State'!$A243-1)),N242)</f>
        <v>20832.741802269669</v>
      </c>
      <c r="O243" s="12">
        <v>0</v>
      </c>
      <c r="P243" s="12">
        <v>0</v>
      </c>
    </row>
    <row r="244" spans="1:16" x14ac:dyDescent="0.35">
      <c r="A244">
        <v>242</v>
      </c>
      <c r="C244" s="14">
        <f t="shared" si="13"/>
        <v>1007273.2515086706</v>
      </c>
      <c r="D244" s="14">
        <f t="shared" si="14"/>
        <v>840040.23128548928</v>
      </c>
      <c r="E244" s="14">
        <f t="shared" si="15"/>
        <v>46015.761851764815</v>
      </c>
      <c r="F244" s="14">
        <f t="shared" si="12"/>
        <v>66829.053419487202</v>
      </c>
      <c r="H244" s="14" cm="1">
        <f t="array" ref="H244:K244">MMULT($C243:$F243,P_Matrix)</f>
        <v>958644.49041620037</v>
      </c>
      <c r="I244" s="14">
        <v>819199.33367443061</v>
      </c>
      <c r="J244" s="14">
        <v>46015.761851764815</v>
      </c>
      <c r="K244" s="14">
        <v>133561.35946350687</v>
      </c>
      <c r="M244" s="12">
        <f>MAX((Inputs!F$25*POWER(1+(Inputs!$C$3-(Inputs!$C$3*(('Steady State'!$A244-1)/Inputs!$C$4))),'Steady State'!$A244-1)),M243)</f>
        <v>48628.76109247026</v>
      </c>
      <c r="N244" s="12">
        <f>MAX((Inputs!G$25*POWER(1+(Inputs!$C$3-(Inputs!$C$3*(('Steady State'!$A244-1)/Inputs!$C$4))),'Steady State'!$A244-1)),N243)</f>
        <v>20840.897611058685</v>
      </c>
      <c r="O244" s="12">
        <v>0</v>
      </c>
      <c r="P244" s="12">
        <v>0</v>
      </c>
    </row>
    <row r="245" spans="1:16" x14ac:dyDescent="0.35">
      <c r="A245">
        <v>243</v>
      </c>
      <c r="C245" s="14">
        <f t="shared" si="13"/>
        <v>1008484.6931924972</v>
      </c>
      <c r="D245" s="14">
        <f t="shared" si="14"/>
        <v>841332.69781954016</v>
      </c>
      <c r="E245" s="14">
        <f t="shared" si="15"/>
        <v>46082.591939000486</v>
      </c>
      <c r="F245" s="14">
        <f t="shared" si="12"/>
        <v>66923.344946765981</v>
      </c>
      <c r="H245" s="14" cm="1">
        <f t="array" ref="H245:K245">MMULT($C244:$F244,P_Matrix)</f>
        <v>959838.83491618175</v>
      </c>
      <c r="I245" s="14">
        <v>820484.47284397634</v>
      </c>
      <c r="J245" s="14">
        <v>46082.591939000486</v>
      </c>
      <c r="K245" s="14">
        <v>133752.39836625318</v>
      </c>
      <c r="M245" s="12">
        <f>MAX((Inputs!F$25*POWER(1+(Inputs!$C$3-(Inputs!$C$3*(('Steady State'!$A245-1)/Inputs!$C$4))),'Steady State'!$A245-1)),M244)</f>
        <v>48645.85827631547</v>
      </c>
      <c r="N245" s="12">
        <f>MAX((Inputs!G$25*POWER(1+(Inputs!$C$3-(Inputs!$C$3*(('Steady State'!$A245-1)/Inputs!$C$4))),'Steady State'!$A245-1)),N244)</f>
        <v>20848.224975563775</v>
      </c>
      <c r="O245" s="12">
        <v>0</v>
      </c>
      <c r="P245" s="12">
        <v>0</v>
      </c>
    </row>
    <row r="246" spans="1:16" x14ac:dyDescent="0.35">
      <c r="A246">
        <v>244</v>
      </c>
      <c r="C246" s="14">
        <f t="shared" si="13"/>
        <v>1009658.2180947233</v>
      </c>
      <c r="D246" s="14">
        <f t="shared" si="14"/>
        <v>842594.60938436899</v>
      </c>
      <c r="E246" s="14">
        <f t="shared" si="15"/>
        <v>46147.729073520662</v>
      </c>
      <c r="F246" s="14">
        <f t="shared" si="12"/>
        <v>67015.16971511126</v>
      </c>
      <c r="H246" s="14" cm="1">
        <f t="array" ref="H246:K246">MMULT($C245:$F245,P_Matrix)</f>
        <v>960997.19777304283</v>
      </c>
      <c r="I246" s="14">
        <v>821739.88638936309</v>
      </c>
      <c r="J246" s="14">
        <v>46147.729073520662</v>
      </c>
      <c r="K246" s="14">
        <v>133938.51466187724</v>
      </c>
      <c r="M246" s="12">
        <f>MAX((Inputs!F$25*POWER(1+(Inputs!$C$3-(Inputs!$C$3*(('Steady State'!$A246-1)/Inputs!$C$4))),'Steady State'!$A246-1)),M245)</f>
        <v>48661.020321680488</v>
      </c>
      <c r="N246" s="12">
        <f>MAX((Inputs!G$25*POWER(1+(Inputs!$C$3-(Inputs!$C$3*(('Steady State'!$A246-1)/Inputs!$C$4))),'Steady State'!$A246-1)),N245)</f>
        <v>20854.722995005923</v>
      </c>
      <c r="O246" s="12">
        <v>0</v>
      </c>
      <c r="P246" s="12">
        <v>0</v>
      </c>
    </row>
    <row r="247" spans="1:16" x14ac:dyDescent="0.35">
      <c r="A247">
        <v>245</v>
      </c>
      <c r="C247" s="14">
        <f t="shared" si="13"/>
        <v>1010793.6893678566</v>
      </c>
      <c r="D247" s="14">
        <f t="shared" si="14"/>
        <v>843825.82059827284</v>
      </c>
      <c r="E247" s="14">
        <f t="shared" si="15"/>
        <v>46211.165718903314</v>
      </c>
      <c r="F247" s="14">
        <f t="shared" si="12"/>
        <v>67104.51709275294</v>
      </c>
      <c r="H247" s="14" cm="1">
        <f t="array" ref="H247:K247">MMULT($C246:$F246,P_Matrix)</f>
        <v>962119.4440102356</v>
      </c>
      <c r="I247" s="14">
        <v>822965.42973072105</v>
      </c>
      <c r="J247" s="14">
        <v>46211.165718903314</v>
      </c>
      <c r="K247" s="14">
        <v>134119.6868078642</v>
      </c>
      <c r="M247" s="12">
        <f>MAX((Inputs!F$25*POWER(1+(Inputs!$C$3-(Inputs!$C$3*(('Steady State'!$A247-1)/Inputs!$C$4))),'Steady State'!$A247-1)),M246)</f>
        <v>48674.245357620959</v>
      </c>
      <c r="N247" s="12">
        <f>MAX((Inputs!G$25*POWER(1+(Inputs!$C$3-(Inputs!$C$3*(('Steady State'!$A247-1)/Inputs!$C$4))),'Steady State'!$A247-1)),N246)</f>
        <v>20860.39086755184</v>
      </c>
      <c r="O247" s="12">
        <v>0</v>
      </c>
      <c r="P247" s="12">
        <v>0</v>
      </c>
    </row>
    <row r="248" spans="1:16" x14ac:dyDescent="0.35">
      <c r="A248">
        <v>246</v>
      </c>
      <c r="C248" s="14">
        <f t="shared" si="13"/>
        <v>1011890.9745280785</v>
      </c>
      <c r="D248" s="14">
        <f t="shared" si="14"/>
        <v>845026.18953212735</v>
      </c>
      <c r="E248" s="14">
        <f t="shared" si="15"/>
        <v>46272.894531003287</v>
      </c>
      <c r="F248" s="14">
        <f t="shared" si="12"/>
        <v>67191.3767287097</v>
      </c>
      <c r="H248" s="14" cm="1">
        <f t="array" ref="H248:K248">MMULT($C247:$F247,P_Matrix)</f>
        <v>963205.44278365816</v>
      </c>
      <c r="I248" s="14">
        <v>824160.96164166147</v>
      </c>
      <c r="J248" s="14">
        <v>46272.894531003287</v>
      </c>
      <c r="K248" s="14">
        <v>134295.89382146264</v>
      </c>
      <c r="M248" s="12">
        <f>MAX((Inputs!F$25*POWER(1+(Inputs!$C$3-(Inputs!$C$3*(('Steady State'!$A248-1)/Inputs!$C$4))),'Steady State'!$A248-1)),M247)</f>
        <v>48685.531744420332</v>
      </c>
      <c r="N248" s="12">
        <f>MAX((Inputs!G$25*POWER(1+(Inputs!$C$3-(Inputs!$C$3*(('Steady State'!$A248-1)/Inputs!$C$4))),'Steady State'!$A248-1)),N247)</f>
        <v>20865.227890465856</v>
      </c>
      <c r="O248" s="12">
        <v>0</v>
      </c>
      <c r="P248" s="12">
        <v>0</v>
      </c>
    </row>
    <row r="249" spans="1:16" x14ac:dyDescent="0.35">
      <c r="A249">
        <v>247</v>
      </c>
      <c r="C249" s="14">
        <f t="shared" si="13"/>
        <v>1012949.945478758</v>
      </c>
      <c r="D249" s="14">
        <f t="shared" si="14"/>
        <v>846195.57773289387</v>
      </c>
      <c r="E249" s="14">
        <f t="shared" si="15"/>
        <v>46332.908359204026</v>
      </c>
      <c r="F249" s="14">
        <f t="shared" si="12"/>
        <v>67275.738554557</v>
      </c>
      <c r="H249" s="14" cm="1">
        <f t="array" ref="H249:K249">MMULT($C248:$F248,P_Matrix)</f>
        <v>964255.06740481535</v>
      </c>
      <c r="I249" s="14">
        <v>825326.34427263273</v>
      </c>
      <c r="J249" s="14">
        <v>46332.908359204026</v>
      </c>
      <c r="K249" s="14">
        <v>134467.1152832667</v>
      </c>
      <c r="M249" s="12">
        <f>MAX((Inputs!F$25*POWER(1+(Inputs!$C$3-(Inputs!$C$3*(('Steady State'!$A249-1)/Inputs!$C$4))),'Steady State'!$A249-1)),M248)</f>
        <v>48694.878073942658</v>
      </c>
      <c r="N249" s="12">
        <f>MAX((Inputs!G$25*POWER(1+(Inputs!$C$3-(Inputs!$C$3*(('Steady State'!$A249-1)/Inputs!$C$4))),'Steady State'!$A249-1)),N248)</f>
        <v>20869.233460261137</v>
      </c>
      <c r="O249" s="12">
        <v>0</v>
      </c>
      <c r="P249" s="12">
        <v>0</v>
      </c>
    </row>
    <row r="250" spans="1:16" x14ac:dyDescent="0.35">
      <c r="A250">
        <v>248</v>
      </c>
      <c r="C250" s="14">
        <f t="shared" si="13"/>
        <v>1013970.4785332116</v>
      </c>
      <c r="D250" s="14">
        <f t="shared" si="14"/>
        <v>847333.85024661163</v>
      </c>
      <c r="E250" s="14">
        <f t="shared" si="15"/>
        <v>46391.200247638932</v>
      </c>
      <c r="F250" s="14">
        <f t="shared" si="12"/>
        <v>67357.592786150548</v>
      </c>
      <c r="H250" s="14" cm="1">
        <f t="array" ref="H250:K250">MMULT($C249:$F249,P_Matrix)</f>
        <v>965268.19536328176</v>
      </c>
      <c r="I250" s="14">
        <v>826461.44317378453</v>
      </c>
      <c r="J250" s="14">
        <v>46391.200247638932</v>
      </c>
      <c r="K250" s="14">
        <v>134633.33134070755</v>
      </c>
      <c r="M250" s="12">
        <f>MAX((Inputs!F$25*POWER(1+(Inputs!$C$3-(Inputs!$C$3*(('Steady State'!$A250-1)/Inputs!$C$4))),'Steady State'!$A250-1)),M249)</f>
        <v>48702.283169929899</v>
      </c>
      <c r="N250" s="12">
        <f>MAX((Inputs!G$25*POWER(1+(Inputs!$C$3-(Inputs!$C$3*(('Steady State'!$A250-1)/Inputs!$C$4))),'Steady State'!$A250-1)),N249)</f>
        <v>20872.407072827096</v>
      </c>
      <c r="O250" s="12">
        <v>0</v>
      </c>
      <c r="P250" s="12">
        <v>0</v>
      </c>
    </row>
    <row r="251" spans="1:16" x14ac:dyDescent="0.35">
      <c r="A251">
        <v>249</v>
      </c>
      <c r="C251" s="14">
        <f t="shared" si="13"/>
        <v>1014952.4544366832</v>
      </c>
      <c r="D251" s="14">
        <f t="shared" si="14"/>
        <v>848440.87564085633</v>
      </c>
      <c r="E251" s="14">
        <f t="shared" si="15"/>
        <v>46447.763436381589</v>
      </c>
      <c r="F251" s="14">
        <f t="shared" si="12"/>
        <v>67436.92992530443</v>
      </c>
      <c r="H251" s="14" cm="1">
        <f t="array" ref="H251:K251">MMULT($C250:$F250,P_Matrix)</f>
        <v>966244.70834844885</v>
      </c>
      <c r="I251" s="14">
        <v>827566.12731732731</v>
      </c>
      <c r="J251" s="14">
        <v>46447.763436381589</v>
      </c>
      <c r="K251" s="14">
        <v>134794.52271145498</v>
      </c>
      <c r="M251" s="12">
        <f>MAX((Inputs!F$25*POWER(1+(Inputs!$C$3-(Inputs!$C$3*(('Steady State'!$A251-1)/Inputs!$C$4))),'Steady State'!$A251-1)),M250)</f>
        <v>48707.746088234329</v>
      </c>
      <c r="N251" s="12">
        <f>MAX((Inputs!G$25*POWER(1+(Inputs!$C$3-(Inputs!$C$3*(('Steady State'!$A251-1)/Inputs!$C$4))),'Steady State'!$A251-1)),N250)</f>
        <v>20874.748323528998</v>
      </c>
      <c r="O251" s="12">
        <v>0</v>
      </c>
      <c r="P251" s="12">
        <v>0</v>
      </c>
    </row>
    <row r="252" spans="1:16" x14ac:dyDescent="0.35">
      <c r="A252">
        <v>250</v>
      </c>
      <c r="C252" s="14">
        <f t="shared" si="13"/>
        <v>1015895.7583875572</v>
      </c>
      <c r="D252" s="14">
        <f t="shared" si="14"/>
        <v>849516.52602666407</v>
      </c>
      <c r="E252" s="14">
        <f t="shared" si="15"/>
        <v>46502.591362604348</v>
      </c>
      <c r="F252" s="14">
        <f t="shared" si="12"/>
        <v>67513.740761421563</v>
      </c>
      <c r="H252" s="14" cm="1">
        <f t="array" ref="H252:K252">MMULT($C251:$F251,P_Matrix)</f>
        <v>967184.49227052892</v>
      </c>
      <c r="I252" s="14">
        <v>828640.26911936619</v>
      </c>
      <c r="J252" s="14">
        <v>46502.591362604348</v>
      </c>
      <c r="K252" s="14">
        <v>134950.67068672599</v>
      </c>
      <c r="M252" s="12">
        <f>MAX((Inputs!F$25*POWER(1+(Inputs!$C$3-(Inputs!$C$3*(('Steady State'!$A252-1)/Inputs!$C$4))),'Steady State'!$A252-1)),M251)</f>
        <v>48711.266117028303</v>
      </c>
      <c r="N252" s="12">
        <f>MAX((Inputs!G$25*POWER(1+(Inputs!$C$3-(Inputs!$C$3*(('Steady State'!$A252-1)/Inputs!$C$4))),'Steady State'!$A252-1)),N251)</f>
        <v>20876.256907297844</v>
      </c>
      <c r="O252" s="12">
        <v>0</v>
      </c>
      <c r="P252" s="12">
        <v>0</v>
      </c>
    </row>
    <row r="253" spans="1:16" x14ac:dyDescent="0.35">
      <c r="A253">
        <v>251</v>
      </c>
      <c r="C253" s="14">
        <f t="shared" si="13"/>
        <v>1016800.2800577806</v>
      </c>
      <c r="D253" s="14">
        <f t="shared" si="14"/>
        <v>850560.67707990494</v>
      </c>
      <c r="E253" s="14">
        <f t="shared" si="15"/>
        <v>46555.677661704816</v>
      </c>
      <c r="F253" s="14">
        <f t="shared" si="12"/>
        <v>67588.016373077728</v>
      </c>
      <c r="H253" s="14" cm="1">
        <f t="array" ref="H253:K253">MMULT($C252:$F252,P_Matrix)</f>
        <v>968087.43728083081</v>
      </c>
      <c r="I253" s="14">
        <v>829683.74446121219</v>
      </c>
      <c r="J253" s="14">
        <v>46555.677661704816</v>
      </c>
      <c r="K253" s="14">
        <v>135101.75713449929</v>
      </c>
      <c r="M253" s="12">
        <f>MAX((Inputs!F$25*POWER(1+(Inputs!$C$3-(Inputs!$C$3*(('Steady State'!$A253-1)/Inputs!$C$4))),'Steady State'!$A253-1)),M252)</f>
        <v>48712.842776949758</v>
      </c>
      <c r="N253" s="12">
        <f>MAX((Inputs!G$25*POWER(1+(Inputs!$C$3-(Inputs!$C$3*(('Steady State'!$A253-1)/Inputs!$C$4))),'Steady State'!$A253-1)),N252)</f>
        <v>20876.932618692754</v>
      </c>
      <c r="O253" s="12">
        <v>0</v>
      </c>
      <c r="P253" s="12">
        <v>0</v>
      </c>
    </row>
    <row r="254" spans="1:16" x14ac:dyDescent="0.35">
      <c r="A254">
        <v>252</v>
      </c>
      <c r="C254" s="14">
        <f t="shared" si="13"/>
        <v>1017666.280568233</v>
      </c>
      <c r="D254" s="14">
        <f t="shared" si="14"/>
        <v>851573.36532884324</v>
      </c>
      <c r="E254" s="14">
        <f t="shared" si="15"/>
        <v>46607.016168399743</v>
      </c>
      <c r="F254" s="14">
        <f t="shared" si="12"/>
        <v>67659.74812955677</v>
      </c>
      <c r="H254" s="14" cm="1">
        <f t="array" ref="H254:K254">MMULT($C253:$F253,P_Matrix)</f>
        <v>968953.43779128324</v>
      </c>
      <c r="I254" s="14">
        <v>830696.43271015049</v>
      </c>
      <c r="J254" s="14">
        <v>46607.016168399743</v>
      </c>
      <c r="K254" s="14">
        <v>135247.7645026345</v>
      </c>
      <c r="M254" s="12">
        <f>MAX((Inputs!F$25*POWER(1+(Inputs!$C$3-(Inputs!$C$3*(('Steady State'!$A254-1)/Inputs!$C$4))),'Steady State'!$A254-1)),M253)</f>
        <v>48712.842776949758</v>
      </c>
      <c r="N254" s="12">
        <f>MAX((Inputs!G$25*POWER(1+(Inputs!$C$3-(Inputs!$C$3*(('Steady State'!$A254-1)/Inputs!$C$4))),'Steady State'!$A254-1)),N253)</f>
        <v>20876.932618692754</v>
      </c>
      <c r="O254" s="12">
        <v>0</v>
      </c>
      <c r="P254" s="12">
        <v>0</v>
      </c>
    </row>
    <row r="255" spans="1:16" x14ac:dyDescent="0.35">
      <c r="A255">
        <v>253</v>
      </c>
      <c r="C255" s="14">
        <f t="shared" si="13"/>
        <v>1018495.5817812171</v>
      </c>
      <c r="D255" s="14">
        <f t="shared" si="14"/>
        <v>852555.3061008784</v>
      </c>
      <c r="E255" s="14">
        <f t="shared" si="15"/>
        <v>46656.606160010604</v>
      </c>
      <c r="F255" s="14">
        <f t="shared" si="12"/>
        <v>67728.943419012212</v>
      </c>
      <c r="H255" s="14" cm="1">
        <f t="array" ref="H255:K255">MMULT($C254:$F254,P_Matrix)</f>
        <v>969782.73900426738</v>
      </c>
      <c r="I255" s="14">
        <v>831678.37348218565</v>
      </c>
      <c r="J255" s="14">
        <v>46656.606160010604</v>
      </c>
      <c r="K255" s="14">
        <v>135388.69154856898</v>
      </c>
      <c r="M255" s="12">
        <f>MAX((Inputs!F$25*POWER(1+(Inputs!$C$3-(Inputs!$C$3*(('Steady State'!$A255-1)/Inputs!$C$4))),'Steady State'!$A255-1)),M254)</f>
        <v>48712.842776949758</v>
      </c>
      <c r="N255" s="12">
        <f>MAX((Inputs!G$25*POWER(1+(Inputs!$C$3-(Inputs!$C$3*(('Steady State'!$A255-1)/Inputs!$C$4))),'Steady State'!$A255-1)),N254)</f>
        <v>20876.932618692754</v>
      </c>
      <c r="O255" s="12">
        <v>0</v>
      </c>
      <c r="P255" s="12">
        <v>0</v>
      </c>
    </row>
    <row r="256" spans="1:16" x14ac:dyDescent="0.35">
      <c r="A256">
        <v>254</v>
      </c>
      <c r="C256" s="14">
        <f t="shared" si="13"/>
        <v>1019289.9033283037</v>
      </c>
      <c r="D256" s="14">
        <f t="shared" si="14"/>
        <v>853507.21535815205</v>
      </c>
      <c r="E256" s="14">
        <f t="shared" si="15"/>
        <v>46704.472574827319</v>
      </c>
      <c r="F256" s="14">
        <f t="shared" si="12"/>
        <v>67795.678176465532</v>
      </c>
      <c r="H256" s="14" cm="1">
        <f t="array" ref="H256:K256">MMULT($C255:$F255,P_Matrix)</f>
        <v>970577.06055135396</v>
      </c>
      <c r="I256" s="14">
        <v>832630.2827394593</v>
      </c>
      <c r="J256" s="14">
        <v>46704.472574827319</v>
      </c>
      <c r="K256" s="14">
        <v>135524.62159547774</v>
      </c>
      <c r="M256" s="12">
        <f>MAX((Inputs!F$25*POWER(1+(Inputs!$C$3-(Inputs!$C$3*(('Steady State'!$A256-1)/Inputs!$C$4))),'Steady State'!$A256-1)),M255)</f>
        <v>48712.842776949758</v>
      </c>
      <c r="N256" s="12">
        <f>MAX((Inputs!G$25*POWER(1+(Inputs!$C$3-(Inputs!$C$3*(('Steady State'!$A256-1)/Inputs!$C$4))),'Steady State'!$A256-1)),N255)</f>
        <v>20876.932618692754</v>
      </c>
      <c r="O256" s="12">
        <v>0</v>
      </c>
      <c r="P256" s="12">
        <v>0</v>
      </c>
    </row>
    <row r="257" spans="1:16" x14ac:dyDescent="0.35">
      <c r="A257">
        <v>255</v>
      </c>
      <c r="C257" s="14">
        <f t="shared" si="13"/>
        <v>1020050.8713166195</v>
      </c>
      <c r="D257" s="14">
        <f t="shared" si="14"/>
        <v>854429.80890424456</v>
      </c>
      <c r="E257" s="14">
        <f t="shared" si="15"/>
        <v>46750.654731760951</v>
      </c>
      <c r="F257" s="14">
        <f t="shared" si="12"/>
        <v>67860.031704300491</v>
      </c>
      <c r="H257" s="14" cm="1">
        <f t="array" ref="H257:K257">MMULT($C256:$F256,P_Matrix)</f>
        <v>971338.0285396697</v>
      </c>
      <c r="I257" s="14">
        <v>833552.87628555181</v>
      </c>
      <c r="J257" s="14">
        <v>46750.654731760951</v>
      </c>
      <c r="K257" s="14">
        <v>135655.70988076602</v>
      </c>
      <c r="M257" s="12">
        <f>MAX((Inputs!F$25*POWER(1+(Inputs!$C$3-(Inputs!$C$3*(('Steady State'!$A257-1)/Inputs!$C$4))),'Steady State'!$A257-1)),M256)</f>
        <v>48712.842776949758</v>
      </c>
      <c r="N257" s="12">
        <f>MAX((Inputs!G$25*POWER(1+(Inputs!$C$3-(Inputs!$C$3*(('Steady State'!$A257-1)/Inputs!$C$4))),'Steady State'!$A257-1)),N256)</f>
        <v>20876.932618692754</v>
      </c>
      <c r="O257" s="12">
        <v>0</v>
      </c>
      <c r="P257" s="12">
        <v>0</v>
      </c>
    </row>
    <row r="258" spans="1:16" x14ac:dyDescent="0.35">
      <c r="A258">
        <v>256</v>
      </c>
      <c r="C258" s="14">
        <f t="shared" si="13"/>
        <v>1020780.0253767904</v>
      </c>
      <c r="D258" s="14">
        <f t="shared" si="14"/>
        <v>855323.80124064547</v>
      </c>
      <c r="E258" s="14">
        <f t="shared" si="15"/>
        <v>46795.199641265208</v>
      </c>
      <c r="F258" s="14">
        <f t="shared" si="12"/>
        <v>67922.084089566139</v>
      </c>
      <c r="H258" s="14" cm="1">
        <f t="array" ref="H258:K258">MMULT($C257:$F257,P_Matrix)</f>
        <v>972067.18259984069</v>
      </c>
      <c r="I258" s="14">
        <v>834446.86862195272</v>
      </c>
      <c r="J258" s="14">
        <v>46795.199641265208</v>
      </c>
      <c r="K258" s="14">
        <v>135782.11579386663</v>
      </c>
      <c r="M258" s="12">
        <f>MAX((Inputs!F$25*POWER(1+(Inputs!$C$3-(Inputs!$C$3*(('Steady State'!$A258-1)/Inputs!$C$4))),'Steady State'!$A258-1)),M257)</f>
        <v>48712.842776949758</v>
      </c>
      <c r="N258" s="12">
        <f>MAX((Inputs!G$25*POWER(1+(Inputs!$C$3-(Inputs!$C$3*(('Steady State'!$A258-1)/Inputs!$C$4))),'Steady State'!$A258-1)),N257)</f>
        <v>20876.932618692754</v>
      </c>
      <c r="O258" s="12">
        <v>0</v>
      </c>
      <c r="P258" s="12">
        <v>0</v>
      </c>
    </row>
    <row r="259" spans="1:16" x14ac:dyDescent="0.35">
      <c r="A259">
        <v>257</v>
      </c>
      <c r="C259" s="14">
        <f t="shared" si="13"/>
        <v>1021478.8246076658</v>
      </c>
      <c r="D259" s="14">
        <f t="shared" si="14"/>
        <v>856189.90428690496</v>
      </c>
      <c r="E259" s="14">
        <f t="shared" si="15"/>
        <v>46838.158050933482</v>
      </c>
      <c r="F259" s="14">
        <f t="shared" ref="F259:F322" si="16">(K259+P259)-F258</f>
        <v>67981.91470883938</v>
      </c>
      <c r="H259" s="14" cm="1">
        <f t="array" ref="H259:K259">MMULT($C258:$F258,P_Matrix)</f>
        <v>972765.98183071602</v>
      </c>
      <c r="I259" s="14">
        <v>835312.97166821221</v>
      </c>
      <c r="J259" s="14">
        <v>46838.158050933482</v>
      </c>
      <c r="K259" s="14">
        <v>135903.99879840552</v>
      </c>
      <c r="M259" s="12">
        <f>MAX((Inputs!F$25*POWER(1+(Inputs!$C$3-(Inputs!$C$3*(('Steady State'!$A259-1)/Inputs!$C$4))),'Steady State'!$A259-1)),M258)</f>
        <v>48712.842776949758</v>
      </c>
      <c r="N259" s="12">
        <f>MAX((Inputs!G$25*POWER(1+(Inputs!$C$3-(Inputs!$C$3*(('Steady State'!$A259-1)/Inputs!$C$4))),'Steady State'!$A259-1)),N258)</f>
        <v>20876.932618692754</v>
      </c>
      <c r="O259" s="12">
        <v>0</v>
      </c>
      <c r="P259" s="12">
        <v>0</v>
      </c>
    </row>
    <row r="260" spans="1:16" x14ac:dyDescent="0.35">
      <c r="A260">
        <v>258</v>
      </c>
      <c r="C260" s="14">
        <f t="shared" ref="C260:C323" si="17">H260+M260</f>
        <v>1022148.652756118</v>
      </c>
      <c r="D260" s="14">
        <f t="shared" ref="D260:D323" si="18">I260+N260</f>
        <v>857028.82608595246</v>
      </c>
      <c r="E260" s="14">
        <f t="shared" ref="E260:E323" si="19">J260+O260</f>
        <v>46879.582119505794</v>
      </c>
      <c r="F260" s="14">
        <f t="shared" si="16"/>
        <v>68039.601379570493</v>
      </c>
      <c r="H260" s="14" cm="1">
        <f t="array" ref="H260:K260">MMULT($C259:$F259,P_Matrix)</f>
        <v>973435.80997916823</v>
      </c>
      <c r="I260" s="14">
        <v>836151.89346725971</v>
      </c>
      <c r="J260" s="14">
        <v>46879.582119505794</v>
      </c>
      <c r="K260" s="14">
        <v>136021.51608840987</v>
      </c>
      <c r="M260" s="12">
        <f>MAX((Inputs!F$25*POWER(1+(Inputs!$C$3-(Inputs!$C$3*(('Steady State'!$A260-1)/Inputs!$C$4))),'Steady State'!$A260-1)),M259)</f>
        <v>48712.842776949758</v>
      </c>
      <c r="N260" s="12">
        <f>MAX((Inputs!G$25*POWER(1+(Inputs!$C$3-(Inputs!$C$3*(('Steady State'!$A260-1)/Inputs!$C$4))),'Steady State'!$A260-1)),N259)</f>
        <v>20876.932618692754</v>
      </c>
      <c r="O260" s="12">
        <v>0</v>
      </c>
      <c r="P260" s="12">
        <v>0</v>
      </c>
    </row>
    <row r="261" spans="1:16" x14ac:dyDescent="0.35">
      <c r="A261">
        <v>259</v>
      </c>
      <c r="C261" s="14">
        <f t="shared" si="17"/>
        <v>1022790.8228405108</v>
      </c>
      <c r="D261" s="14">
        <f t="shared" si="18"/>
        <v>857841.26956144511</v>
      </c>
      <c r="E261" s="14">
        <f t="shared" si="19"/>
        <v>46919.524060124182</v>
      </c>
      <c r="F261" s="14">
        <f t="shared" si="16"/>
        <v>68095.21989513858</v>
      </c>
      <c r="H261" s="14" cm="1">
        <f t="array" ref="H261:K261">MMULT($C260:$F260,P_Matrix)</f>
        <v>974077.980063561</v>
      </c>
      <c r="I261" s="14">
        <v>836964.33694275236</v>
      </c>
      <c r="J261" s="14">
        <v>46919.524060124182</v>
      </c>
      <c r="K261" s="14">
        <v>136134.82127470907</v>
      </c>
      <c r="M261" s="12">
        <f>MAX((Inputs!F$25*POWER(1+(Inputs!$C$3-(Inputs!$C$3*(('Steady State'!$A261-1)/Inputs!$C$4))),'Steady State'!$A261-1)),M260)</f>
        <v>48712.842776949758</v>
      </c>
      <c r="N261" s="12">
        <f>MAX((Inputs!G$25*POWER(1+(Inputs!$C$3-(Inputs!$C$3*(('Steady State'!$A261-1)/Inputs!$C$4))),'Steady State'!$A261-1)),N260)</f>
        <v>20876.932618692754</v>
      </c>
      <c r="O261" s="12">
        <v>0</v>
      </c>
      <c r="P261" s="12">
        <v>0</v>
      </c>
    </row>
    <row r="262" spans="1:16" x14ac:dyDescent="0.35">
      <c r="A262">
        <v>260</v>
      </c>
      <c r="C262" s="14">
        <f t="shared" si="17"/>
        <v>1023406.5813486568</v>
      </c>
      <c r="D262" s="14">
        <f t="shared" si="18"/>
        <v>858627.93136188202</v>
      </c>
      <c r="E262" s="14">
        <f t="shared" si="19"/>
        <v>46958.035360094065</v>
      </c>
      <c r="F262" s="14">
        <f t="shared" si="16"/>
        <v>68148.843787089718</v>
      </c>
      <c r="H262" s="14" cm="1">
        <f t="array" ref="H262:K262">MMULT($C261:$F261,P_Matrix)</f>
        <v>974693.73857170704</v>
      </c>
      <c r="I262" s="14">
        <v>837750.99874318927</v>
      </c>
      <c r="J262" s="14">
        <v>46958.035360094065</v>
      </c>
      <c r="K262" s="14">
        <v>136244.0636822283</v>
      </c>
      <c r="M262" s="12">
        <f>MAX((Inputs!F$25*POWER(1+(Inputs!$C$3-(Inputs!$C$3*(('Steady State'!$A262-1)/Inputs!$C$4))),'Steady State'!$A262-1)),M261)</f>
        <v>48712.842776949758</v>
      </c>
      <c r="N262" s="12">
        <f>MAX((Inputs!G$25*POWER(1+(Inputs!$C$3-(Inputs!$C$3*(('Steady State'!$A262-1)/Inputs!$C$4))),'Steady State'!$A262-1)),N261)</f>
        <v>20876.932618692754</v>
      </c>
      <c r="O262" s="12">
        <v>0</v>
      </c>
      <c r="P262" s="12">
        <v>0</v>
      </c>
    </row>
    <row r="263" spans="1:16" x14ac:dyDescent="0.35">
      <c r="A263">
        <v>261</v>
      </c>
      <c r="C263" s="14">
        <f t="shared" si="17"/>
        <v>1023997.1120943152</v>
      </c>
      <c r="D263" s="14">
        <f t="shared" si="18"/>
        <v>859389.50080745853</v>
      </c>
      <c r="E263" s="14">
        <f t="shared" si="19"/>
        <v>46995.166343161829</v>
      </c>
      <c r="F263" s="14">
        <f t="shared" si="16"/>
        <v>68200.54422133966</v>
      </c>
      <c r="H263" s="14" cm="1">
        <f t="array" ref="H263:K263">MMULT($C262:$F262,P_Matrix)</f>
        <v>975284.26931736548</v>
      </c>
      <c r="I263" s="14">
        <v>838512.56818876578</v>
      </c>
      <c r="J263" s="14">
        <v>46995.166343161829</v>
      </c>
      <c r="K263" s="14">
        <v>136349.38800842938</v>
      </c>
      <c r="M263" s="12">
        <f>MAX((Inputs!F$25*POWER(1+(Inputs!$C$3-(Inputs!$C$3*(('Steady State'!$A263-1)/Inputs!$C$4))),'Steady State'!$A263-1)),M262)</f>
        <v>48712.842776949758</v>
      </c>
      <c r="N263" s="12">
        <f>MAX((Inputs!G$25*POWER(1+(Inputs!$C$3-(Inputs!$C$3*(('Steady State'!$A263-1)/Inputs!$C$4))),'Steady State'!$A263-1)),N262)</f>
        <v>20876.932618692754</v>
      </c>
      <c r="O263" s="12">
        <v>0</v>
      </c>
      <c r="P263" s="12">
        <v>0</v>
      </c>
    </row>
    <row r="264" spans="1:16" x14ac:dyDescent="0.35">
      <c r="A264">
        <v>262</v>
      </c>
      <c r="C264" s="14">
        <f t="shared" si="17"/>
        <v>1024563.5397879968</v>
      </c>
      <c r="D264" s="14">
        <f t="shared" si="18"/>
        <v>860126.65894482273</v>
      </c>
      <c r="E264" s="14">
        <f t="shared" si="19"/>
        <v>47030.965934914842</v>
      </c>
      <c r="F264" s="14">
        <f t="shared" si="16"/>
        <v>68250.389972843666</v>
      </c>
      <c r="H264" s="14" cm="1">
        <f t="array" ref="H264:K264">MMULT($C263:$F263,P_Matrix)</f>
        <v>975850.69701104704</v>
      </c>
      <c r="I264" s="14">
        <v>839249.72632612998</v>
      </c>
      <c r="J264" s="14">
        <v>47030.965934914842</v>
      </c>
      <c r="K264" s="14">
        <v>136450.93419418333</v>
      </c>
      <c r="M264" s="12">
        <f>MAX((Inputs!F$25*POWER(1+(Inputs!$C$3-(Inputs!$C$3*(('Steady State'!$A264-1)/Inputs!$C$4))),'Steady State'!$A264-1)),M263)</f>
        <v>48712.842776949758</v>
      </c>
      <c r="N264" s="12">
        <f>MAX((Inputs!G$25*POWER(1+(Inputs!$C$3-(Inputs!$C$3*(('Steady State'!$A264-1)/Inputs!$C$4))),'Steady State'!$A264-1)),N263)</f>
        <v>20876.932618692754</v>
      </c>
      <c r="O264" s="12">
        <v>0</v>
      </c>
      <c r="P264" s="12">
        <v>0</v>
      </c>
    </row>
    <row r="265" spans="1:16" x14ac:dyDescent="0.35">
      <c r="A265">
        <v>263</v>
      </c>
      <c r="C265" s="14">
        <f t="shared" si="17"/>
        <v>1025106.9333606064</v>
      </c>
      <c r="D265" s="14">
        <f t="shared" si="18"/>
        <v>860840.07770878007</v>
      </c>
      <c r="E265" s="14">
        <f t="shared" si="19"/>
        <v>47065.481548277094</v>
      </c>
      <c r="F265" s="14">
        <f t="shared" si="16"/>
        <v>68298.447445713304</v>
      </c>
      <c r="H265" s="14" cm="1">
        <f t="array" ref="H265:K265">MMULT($C264:$F264,P_Matrix)</f>
        <v>976394.09058365668</v>
      </c>
      <c r="I265" s="14">
        <v>839963.14509008732</v>
      </c>
      <c r="J265" s="14">
        <v>47065.481548277094</v>
      </c>
      <c r="K265" s="14">
        <v>136548.83741855697</v>
      </c>
      <c r="M265" s="12">
        <f>MAX((Inputs!F$25*POWER(1+(Inputs!$C$3-(Inputs!$C$3*(('Steady State'!$A265-1)/Inputs!$C$4))),'Steady State'!$A265-1)),M264)</f>
        <v>48712.842776949758</v>
      </c>
      <c r="N265" s="12">
        <f>MAX((Inputs!G$25*POWER(1+(Inputs!$C$3-(Inputs!$C$3*(('Steady State'!$A265-1)/Inputs!$C$4))),'Steady State'!$A265-1)),N264)</f>
        <v>20876.932618692754</v>
      </c>
      <c r="O265" s="12">
        <v>0</v>
      </c>
      <c r="P265" s="12">
        <v>0</v>
      </c>
    </row>
    <row r="266" spans="1:16" x14ac:dyDescent="0.35">
      <c r="A266">
        <v>264</v>
      </c>
      <c r="C266" s="14">
        <f t="shared" si="17"/>
        <v>1025628.3090678352</v>
      </c>
      <c r="D266" s="14">
        <f t="shared" si="18"/>
        <v>861530.41918665974</v>
      </c>
      <c r="E266" s="14">
        <f t="shared" si="19"/>
        <v>47098.759039660123</v>
      </c>
      <c r="F266" s="14">
        <f t="shared" si="16"/>
        <v>68344.780719150876</v>
      </c>
      <c r="H266" s="14" cm="1">
        <f t="array" ref="H266:K266">MMULT($C265:$F265,P_Matrix)</f>
        <v>976915.46629088547</v>
      </c>
      <c r="I266" s="14">
        <v>840653.48656796699</v>
      </c>
      <c r="J266" s="14">
        <v>47098.759039660123</v>
      </c>
      <c r="K266" s="14">
        <v>136643.22816486418</v>
      </c>
      <c r="M266" s="12">
        <f>MAX((Inputs!F$25*POWER(1+(Inputs!$C$3-(Inputs!$C$3*(('Steady State'!$A266-1)/Inputs!$C$4))),'Steady State'!$A266-1)),M265)</f>
        <v>48712.842776949758</v>
      </c>
      <c r="N266" s="12">
        <f>MAX((Inputs!G$25*POWER(1+(Inputs!$C$3-(Inputs!$C$3*(('Steady State'!$A266-1)/Inputs!$C$4))),'Steady State'!$A266-1)),N265)</f>
        <v>20876.932618692754</v>
      </c>
      <c r="O266" s="12">
        <v>0</v>
      </c>
      <c r="P266" s="12">
        <v>0</v>
      </c>
    </row>
    <row r="267" spans="1:16" x14ac:dyDescent="0.35">
      <c r="A267">
        <v>265</v>
      </c>
      <c r="C267" s="14">
        <f t="shared" si="17"/>
        <v>1026128.6333965474</v>
      </c>
      <c r="D267" s="14">
        <f t="shared" si="18"/>
        <v>862198.33497935906</v>
      </c>
      <c r="E267" s="14">
        <f t="shared" si="19"/>
        <v>47130.84270634102</v>
      </c>
      <c r="F267" s="14">
        <f t="shared" si="16"/>
        <v>68389.451607549883</v>
      </c>
      <c r="H267" s="14" cm="1">
        <f t="array" ref="H267:K267">MMULT($C266:$F266,P_Matrix)</f>
        <v>977415.79061959765</v>
      </c>
      <c r="I267" s="14">
        <v>841321.40236066631</v>
      </c>
      <c r="J267" s="14">
        <v>47130.84270634102</v>
      </c>
      <c r="K267" s="14">
        <v>136734.23232670076</v>
      </c>
      <c r="M267" s="12">
        <f>MAX((Inputs!F$25*POWER(1+(Inputs!$C$3-(Inputs!$C$3*(('Steady State'!$A267-1)/Inputs!$C$4))),'Steady State'!$A267-1)),M266)</f>
        <v>48712.842776949758</v>
      </c>
      <c r="N267" s="12">
        <f>MAX((Inputs!G$25*POWER(1+(Inputs!$C$3-(Inputs!$C$3*(('Steady State'!$A267-1)/Inputs!$C$4))),'Steady State'!$A267-1)),N266)</f>
        <v>20876.932618692754</v>
      </c>
      <c r="O267" s="12">
        <v>0</v>
      </c>
      <c r="P267" s="12">
        <v>0</v>
      </c>
    </row>
    <row r="268" spans="1:16" x14ac:dyDescent="0.35">
      <c r="A268">
        <v>266</v>
      </c>
      <c r="C268" s="14">
        <f t="shared" si="17"/>
        <v>1026608.8257901319</v>
      </c>
      <c r="D268" s="14">
        <f t="shared" si="18"/>
        <v>862844.46565233183</v>
      </c>
      <c r="E268" s="14">
        <f t="shared" si="19"/>
        <v>47161.775307563672</v>
      </c>
      <c r="F268" s="14">
        <f t="shared" si="16"/>
        <v>68432.51972786244</v>
      </c>
      <c r="H268" s="14" cm="1">
        <f t="array" ref="H268:K268">MMULT($C267:$F267,P_Matrix)</f>
        <v>977895.98301318218</v>
      </c>
      <c r="I268" s="14">
        <v>841967.53303363908</v>
      </c>
      <c r="J268" s="14">
        <v>47161.775307563672</v>
      </c>
      <c r="K268" s="14">
        <v>136821.97133541232</v>
      </c>
      <c r="M268" s="12">
        <f>MAX((Inputs!F$25*POWER(1+(Inputs!$C$3-(Inputs!$C$3*(('Steady State'!$A268-1)/Inputs!$C$4))),'Steady State'!$A268-1)),M267)</f>
        <v>48712.842776949758</v>
      </c>
      <c r="N268" s="12">
        <f>MAX((Inputs!G$25*POWER(1+(Inputs!$C$3-(Inputs!$C$3*(('Steady State'!$A268-1)/Inputs!$C$4))),'Steady State'!$A268-1)),N267)</f>
        <v>20876.932618692754</v>
      </c>
      <c r="O268" s="12">
        <v>0</v>
      </c>
      <c r="P268" s="12">
        <v>0</v>
      </c>
    </row>
    <row r="269" spans="1:16" x14ac:dyDescent="0.35">
      <c r="A269">
        <v>267</v>
      </c>
      <c r="C269" s="14">
        <f t="shared" si="17"/>
        <v>1027069.7612069533</v>
      </c>
      <c r="D269" s="14">
        <f t="shared" si="18"/>
        <v>863469.44026958884</v>
      </c>
      <c r="E269" s="14">
        <f t="shared" si="19"/>
        <v>47191.598098962844</v>
      </c>
      <c r="F269" s="14">
        <f t="shared" si="16"/>
        <v>68474.042570164835</v>
      </c>
      <c r="H269" s="14" cm="1">
        <f t="array" ref="H269:K269">MMULT($C268:$F268,P_Matrix)</f>
        <v>978356.91843000357</v>
      </c>
      <c r="I269" s="14">
        <v>842592.50765089609</v>
      </c>
      <c r="J269" s="14">
        <v>47191.598098962844</v>
      </c>
      <c r="K269" s="14">
        <v>136906.56229802727</v>
      </c>
      <c r="M269" s="12">
        <f>MAX((Inputs!F$25*POWER(1+(Inputs!$C$3-(Inputs!$C$3*(('Steady State'!$A269-1)/Inputs!$C$4))),'Steady State'!$A269-1)),M268)</f>
        <v>48712.842776949758</v>
      </c>
      <c r="N269" s="12">
        <f>MAX((Inputs!G$25*POWER(1+(Inputs!$C$3-(Inputs!$C$3*(('Steady State'!$A269-1)/Inputs!$C$4))),'Steady State'!$A269-1)),N268)</f>
        <v>20876.932618692754</v>
      </c>
      <c r="O269" s="12">
        <v>0</v>
      </c>
      <c r="P269" s="12">
        <v>0</v>
      </c>
    </row>
    <row r="270" spans="1:16" x14ac:dyDescent="0.35">
      <c r="A270">
        <v>268</v>
      </c>
      <c r="C270" s="14">
        <f t="shared" si="17"/>
        <v>1027512.2725240779</v>
      </c>
      <c r="D270" s="14">
        <f t="shared" si="18"/>
        <v>864073.87600388937</v>
      </c>
      <c r="E270" s="14">
        <f t="shared" si="19"/>
        <v>47220.350874143129</v>
      </c>
      <c r="F270" s="14">
        <f t="shared" si="16"/>
        <v>68514.07556903697</v>
      </c>
      <c r="H270" s="14" cm="1">
        <f t="array" ref="H270:K270">MMULT($C269:$F269,P_Matrix)</f>
        <v>978799.42974712816</v>
      </c>
      <c r="I270" s="14">
        <v>843196.94338519662</v>
      </c>
      <c r="J270" s="14">
        <v>47220.350874143129</v>
      </c>
      <c r="K270" s="14">
        <v>136988.1181392018</v>
      </c>
      <c r="M270" s="12">
        <f>MAX((Inputs!F$25*POWER(1+(Inputs!$C$3-(Inputs!$C$3*(('Steady State'!$A270-1)/Inputs!$C$4))),'Steady State'!$A270-1)),M269)</f>
        <v>48712.842776949758</v>
      </c>
      <c r="N270" s="12">
        <f>MAX((Inputs!G$25*POWER(1+(Inputs!$C$3-(Inputs!$C$3*(('Steady State'!$A270-1)/Inputs!$C$4))),'Steady State'!$A270-1)),N269)</f>
        <v>20876.932618692754</v>
      </c>
      <c r="O270" s="12">
        <v>0</v>
      </c>
      <c r="P270" s="12">
        <v>0</v>
      </c>
    </row>
    <row r="271" spans="1:16" x14ac:dyDescent="0.35">
      <c r="A271">
        <v>269</v>
      </c>
      <c r="C271" s="14">
        <f t="shared" si="17"/>
        <v>1027937.1527970361</v>
      </c>
      <c r="D271" s="14">
        <f t="shared" si="18"/>
        <v>864658.37781657628</v>
      </c>
      <c r="E271" s="14">
        <f t="shared" si="19"/>
        <v>47248.07200976555</v>
      </c>
      <c r="F271" s="14">
        <f t="shared" si="16"/>
        <v>68552.672174374806</v>
      </c>
      <c r="H271" s="14" cm="1">
        <f t="array" ref="H271:K271">MMULT($C270:$F270,P_Matrix)</f>
        <v>979224.31002008636</v>
      </c>
      <c r="I271" s="14">
        <v>843781.44519788353</v>
      </c>
      <c r="J271" s="14">
        <v>47248.07200976555</v>
      </c>
      <c r="K271" s="14">
        <v>137066.74774341178</v>
      </c>
      <c r="M271" s="12">
        <f>MAX((Inputs!F$25*POWER(1+(Inputs!$C$3-(Inputs!$C$3*(('Steady State'!$A271-1)/Inputs!$C$4))),'Steady State'!$A271-1)),M270)</f>
        <v>48712.842776949758</v>
      </c>
      <c r="N271" s="12">
        <f>MAX((Inputs!G$25*POWER(1+(Inputs!$C$3-(Inputs!$C$3*(('Steady State'!$A271-1)/Inputs!$C$4))),'Steady State'!$A271-1)),N270)</f>
        <v>20876.932618692754</v>
      </c>
      <c r="O271" s="12">
        <v>0</v>
      </c>
      <c r="P271" s="12">
        <v>0</v>
      </c>
    </row>
    <row r="272" spans="1:16" x14ac:dyDescent="0.35">
      <c r="A272">
        <v>270</v>
      </c>
      <c r="C272" s="14">
        <f t="shared" si="17"/>
        <v>1028345.157385306</v>
      </c>
      <c r="D272" s="14">
        <f t="shared" si="18"/>
        <v>865223.53820086922</v>
      </c>
      <c r="E272" s="14">
        <f t="shared" si="19"/>
        <v>47274.798511995454</v>
      </c>
      <c r="F272" s="14">
        <f t="shared" si="16"/>
        <v>68589.883920849767</v>
      </c>
      <c r="H272" s="14" cm="1">
        <f t="array" ref="H272:K272">MMULT($C271:$F271,P_Matrix)</f>
        <v>979632.31460835622</v>
      </c>
      <c r="I272" s="14">
        <v>844346.60558217647</v>
      </c>
      <c r="J272" s="14">
        <v>47274.798511995454</v>
      </c>
      <c r="K272" s="14">
        <v>137142.55609522457</v>
      </c>
      <c r="M272" s="12">
        <f>MAX((Inputs!F$25*POWER(1+(Inputs!$C$3-(Inputs!$C$3*(('Steady State'!$A272-1)/Inputs!$C$4))),'Steady State'!$A272-1)),M271)</f>
        <v>48712.842776949758</v>
      </c>
      <c r="N272" s="12">
        <f>MAX((Inputs!G$25*POWER(1+(Inputs!$C$3-(Inputs!$C$3*(('Steady State'!$A272-1)/Inputs!$C$4))),'Steady State'!$A272-1)),N271)</f>
        <v>20876.932618692754</v>
      </c>
      <c r="O272" s="12">
        <v>0</v>
      </c>
      <c r="P272" s="12">
        <v>0</v>
      </c>
    </row>
    <row r="273" spans="1:16" x14ac:dyDescent="0.35">
      <c r="A273">
        <v>271</v>
      </c>
      <c r="C273" s="14">
        <f t="shared" si="17"/>
        <v>1028737.0059523456</v>
      </c>
      <c r="D273" s="14">
        <f t="shared" si="18"/>
        <v>865769.93698282435</v>
      </c>
      <c r="E273" s="14">
        <f t="shared" si="19"/>
        <v>47300.566063059021</v>
      </c>
      <c r="F273" s="14">
        <f t="shared" si="16"/>
        <v>68625.760495584109</v>
      </c>
      <c r="H273" s="14" cm="1">
        <f t="array" ref="H273:K273">MMULT($C272:$F272,P_Matrix)</f>
        <v>980024.16317539581</v>
      </c>
      <c r="I273" s="14">
        <v>844893.0043641316</v>
      </c>
      <c r="J273" s="14">
        <v>47300.566063059021</v>
      </c>
      <c r="K273" s="14">
        <v>137215.64441643388</v>
      </c>
      <c r="M273" s="12">
        <f>MAX((Inputs!F$25*POWER(1+(Inputs!$C$3-(Inputs!$C$3*(('Steady State'!$A273-1)/Inputs!$C$4))),'Steady State'!$A273-1)),M272)</f>
        <v>48712.842776949758</v>
      </c>
      <c r="N273" s="12">
        <f>MAX((Inputs!G$25*POWER(1+(Inputs!$C$3-(Inputs!$C$3*(('Steady State'!$A273-1)/Inputs!$C$4))),'Steady State'!$A273-1)),N272)</f>
        <v>20876.932618692754</v>
      </c>
      <c r="O273" s="12">
        <v>0</v>
      </c>
      <c r="P273" s="12">
        <v>0</v>
      </c>
    </row>
    <row r="274" spans="1:16" x14ac:dyDescent="0.35">
      <c r="A274">
        <v>272</v>
      </c>
      <c r="C274" s="14">
        <f t="shared" si="17"/>
        <v>1029113.3843482886</v>
      </c>
      <c r="D274" s="14">
        <f t="shared" si="18"/>
        <v>866298.14117457578</v>
      </c>
      <c r="E274" s="14">
        <f t="shared" si="19"/>
        <v>47325.409067187109</v>
      </c>
      <c r="F274" s="14">
        <f t="shared" si="16"/>
        <v>68660.349803819845</v>
      </c>
      <c r="H274" s="14" cm="1">
        <f t="array" ref="H274:K274">MMULT($C273:$F273,P_Matrix)</f>
        <v>980400.54157133889</v>
      </c>
      <c r="I274" s="14">
        <v>845421.20855588303</v>
      </c>
      <c r="J274" s="14">
        <v>47325.409067187109</v>
      </c>
      <c r="K274" s="14">
        <v>137286.11029940395</v>
      </c>
      <c r="M274" s="12">
        <f>MAX((Inputs!F$25*POWER(1+(Inputs!$C$3-(Inputs!$C$3*(('Steady State'!$A274-1)/Inputs!$C$4))),'Steady State'!$A274-1)),M273)</f>
        <v>48712.842776949758</v>
      </c>
      <c r="N274" s="12">
        <f>MAX((Inputs!G$25*POWER(1+(Inputs!$C$3-(Inputs!$C$3*(('Steady State'!$A274-1)/Inputs!$C$4))),'Steady State'!$A274-1)),N273)</f>
        <v>20876.932618692754</v>
      </c>
      <c r="O274" s="12">
        <v>0</v>
      </c>
      <c r="P274" s="12">
        <v>0</v>
      </c>
    </row>
    <row r="275" spans="1:16" x14ac:dyDescent="0.35">
      <c r="A275">
        <v>273</v>
      </c>
      <c r="C275" s="14">
        <f t="shared" si="17"/>
        <v>1029474.9463828055</v>
      </c>
      <c r="D275" s="14">
        <f t="shared" si="18"/>
        <v>866808.70487486478</v>
      </c>
      <c r="E275" s="14">
        <f t="shared" si="19"/>
        <v>47349.360695540905</v>
      </c>
      <c r="F275" s="14">
        <f t="shared" si="16"/>
        <v>68693.698032482702</v>
      </c>
      <c r="H275" s="14" cm="1">
        <f t="array" ref="H275:K275">MMULT($C274:$F274,P_Matrix)</f>
        <v>980762.10360585572</v>
      </c>
      <c r="I275" s="14">
        <v>845931.77225617203</v>
      </c>
      <c r="J275" s="14">
        <v>47349.360695540905</v>
      </c>
      <c r="K275" s="14">
        <v>137354.04783630255</v>
      </c>
      <c r="M275" s="12">
        <f>MAX((Inputs!F$25*POWER(1+(Inputs!$C$3-(Inputs!$C$3*(('Steady State'!$A275-1)/Inputs!$C$4))),'Steady State'!$A275-1)),M274)</f>
        <v>48712.842776949758</v>
      </c>
      <c r="N275" s="12">
        <f>MAX((Inputs!G$25*POWER(1+(Inputs!$C$3-(Inputs!$C$3*(('Steady State'!$A275-1)/Inputs!$C$4))),'Steady State'!$A275-1)),N274)</f>
        <v>20876.932618692754</v>
      </c>
      <c r="O275" s="12">
        <v>0</v>
      </c>
      <c r="P275" s="12">
        <v>0</v>
      </c>
    </row>
    <row r="276" spans="1:16" x14ac:dyDescent="0.35">
      <c r="A276">
        <v>274</v>
      </c>
      <c r="C276" s="14">
        <f t="shared" si="17"/>
        <v>1029822.3154950895</v>
      </c>
      <c r="D276" s="14">
        <f t="shared" si="18"/>
        <v>867302.16921224748</v>
      </c>
      <c r="E276" s="14">
        <f t="shared" si="19"/>
        <v>47372.452929901243</v>
      </c>
      <c r="F276" s="14">
        <f t="shared" si="16"/>
        <v>68725.84971161533</v>
      </c>
      <c r="H276" s="14" cm="1">
        <f t="array" ref="H276:K276">MMULT($C275:$F275,P_Matrix)</f>
        <v>981109.47271813976</v>
      </c>
      <c r="I276" s="14">
        <v>846425.23659355473</v>
      </c>
      <c r="J276" s="14">
        <v>47372.452929901243</v>
      </c>
      <c r="K276" s="14">
        <v>137419.54774409803</v>
      </c>
      <c r="M276" s="12">
        <f>MAX((Inputs!F$25*POWER(1+(Inputs!$C$3-(Inputs!$C$3*(('Steady State'!$A276-1)/Inputs!$C$4))),'Steady State'!$A276-1)),M275)</f>
        <v>48712.842776949758</v>
      </c>
      <c r="N276" s="12">
        <f>MAX((Inputs!G$25*POWER(1+(Inputs!$C$3-(Inputs!$C$3*(('Steady State'!$A276-1)/Inputs!$C$4))),'Steady State'!$A276-1)),N275)</f>
        <v>20876.932618692754</v>
      </c>
      <c r="O276" s="12">
        <v>0</v>
      </c>
      <c r="P276" s="12">
        <v>0</v>
      </c>
    </row>
    <row r="277" spans="1:16" x14ac:dyDescent="0.35">
      <c r="A277">
        <v>275</v>
      </c>
      <c r="C277" s="14">
        <f t="shared" si="17"/>
        <v>1030156.0863274464</v>
      </c>
      <c r="D277" s="14">
        <f t="shared" si="18"/>
        <v>867779.06232672476</v>
      </c>
      <c r="E277" s="14">
        <f t="shared" si="19"/>
        <v>47394.716605014117</v>
      </c>
      <c r="F277" s="14">
        <f t="shared" si="16"/>
        <v>68756.847773695423</v>
      </c>
      <c r="H277" s="14" cm="1">
        <f t="array" ref="H277:K277">MMULT($C276:$F276,P_Matrix)</f>
        <v>981443.24355049664</v>
      </c>
      <c r="I277" s="14">
        <v>846902.12970803201</v>
      </c>
      <c r="J277" s="14">
        <v>47394.716605014117</v>
      </c>
      <c r="K277" s="14">
        <v>137482.69748531075</v>
      </c>
      <c r="M277" s="12">
        <f>MAX((Inputs!F$25*POWER(1+(Inputs!$C$3-(Inputs!$C$3*(('Steady State'!$A277-1)/Inputs!$C$4))),'Steady State'!$A277-1)),M276)</f>
        <v>48712.842776949758</v>
      </c>
      <c r="N277" s="12">
        <f>MAX((Inputs!G$25*POWER(1+(Inputs!$C$3-(Inputs!$C$3*(('Steady State'!$A277-1)/Inputs!$C$4))),'Steady State'!$A277-1)),N276)</f>
        <v>20876.932618692754</v>
      </c>
      <c r="O277" s="12">
        <v>0</v>
      </c>
      <c r="P277" s="12">
        <v>0</v>
      </c>
    </row>
    <row r="278" spans="1:16" x14ac:dyDescent="0.35">
      <c r="A278">
        <v>276</v>
      </c>
      <c r="C278" s="14">
        <f t="shared" si="17"/>
        <v>1030476.826208518</v>
      </c>
      <c r="D278" s="14">
        <f t="shared" si="18"/>
        <v>868239.8993858808</v>
      </c>
      <c r="E278" s="14">
        <f t="shared" si="19"/>
        <v>47416.181449550182</v>
      </c>
      <c r="F278" s="14">
        <f t="shared" si="16"/>
        <v>68786.73361087864</v>
      </c>
      <c r="H278" s="14" cm="1">
        <f t="array" ref="H278:K278">MMULT($C277:$F277,P_Matrix)</f>
        <v>981763.98343156825</v>
      </c>
      <c r="I278" s="14">
        <v>847362.96676718805</v>
      </c>
      <c r="J278" s="14">
        <v>47416.181449550182</v>
      </c>
      <c r="K278" s="14">
        <v>137543.58138457406</v>
      </c>
      <c r="M278" s="12">
        <f>MAX((Inputs!F$25*POWER(1+(Inputs!$C$3-(Inputs!$C$3*(('Steady State'!$A278-1)/Inputs!$C$4))),'Steady State'!$A278-1)),M277)</f>
        <v>48712.842776949758</v>
      </c>
      <c r="N278" s="12">
        <f>MAX((Inputs!G$25*POWER(1+(Inputs!$C$3-(Inputs!$C$3*(('Steady State'!$A278-1)/Inputs!$C$4))),'Steady State'!$A278-1)),N277)</f>
        <v>20876.932618692754</v>
      </c>
      <c r="O278" s="12">
        <v>0</v>
      </c>
      <c r="P278" s="12">
        <v>0</v>
      </c>
    </row>
    <row r="279" spans="1:16" x14ac:dyDescent="0.35">
      <c r="A279">
        <v>277</v>
      </c>
      <c r="C279" s="14">
        <f t="shared" si="17"/>
        <v>1030785.0765517704</v>
      </c>
      <c r="D279" s="14">
        <f t="shared" si="18"/>
        <v>868685.18263192731</v>
      </c>
      <c r="E279" s="14">
        <f t="shared" si="19"/>
        <v>47436.876125674098</v>
      </c>
      <c r="F279" s="14">
        <f t="shared" si="16"/>
        <v>68815.547130219522</v>
      </c>
      <c r="H279" s="14" cm="1">
        <f t="array" ref="H279:K279">MMULT($C278:$F278,P_Matrix)</f>
        <v>982072.23377482069</v>
      </c>
      <c r="I279" s="14">
        <v>847808.25001323456</v>
      </c>
      <c r="J279" s="14">
        <v>47436.876125674098</v>
      </c>
      <c r="K279" s="14">
        <v>137602.28074109816</v>
      </c>
      <c r="M279" s="12">
        <f>MAX((Inputs!F$25*POWER(1+(Inputs!$C$3-(Inputs!$C$3*(('Steady State'!$A279-1)/Inputs!$C$4))),'Steady State'!$A279-1)),M278)</f>
        <v>48712.842776949758</v>
      </c>
      <c r="N279" s="12">
        <f>MAX((Inputs!G$25*POWER(1+(Inputs!$C$3-(Inputs!$C$3*(('Steady State'!$A279-1)/Inputs!$C$4))),'Steady State'!$A279-1)),N278)</f>
        <v>20876.932618692754</v>
      </c>
      <c r="O279" s="12">
        <v>0</v>
      </c>
      <c r="P279" s="12">
        <v>0</v>
      </c>
    </row>
    <row r="280" spans="1:16" x14ac:dyDescent="0.35">
      <c r="A280">
        <v>278</v>
      </c>
      <c r="C280" s="14">
        <f t="shared" si="17"/>
        <v>1031081.3541745006</v>
      </c>
      <c r="D280" s="14">
        <f t="shared" si="18"/>
        <v>869115.40145634266</v>
      </c>
      <c r="E280" s="14">
        <f t="shared" si="19"/>
        <v>47456.828267241435</v>
      </c>
      <c r="F280" s="14">
        <f t="shared" si="16"/>
        <v>68843.326806929457</v>
      </c>
      <c r="H280" s="14" cm="1">
        <f t="array" ref="H280:K280">MMULT($C279:$F279,P_Matrix)</f>
        <v>982368.51139755081</v>
      </c>
      <c r="I280" s="14">
        <v>848238.46883764991</v>
      </c>
      <c r="J280" s="14">
        <v>47456.828267241435</v>
      </c>
      <c r="K280" s="14">
        <v>137658.87393714898</v>
      </c>
      <c r="M280" s="12">
        <f>MAX((Inputs!F$25*POWER(1+(Inputs!$C$3-(Inputs!$C$3*(('Steady State'!$A280-1)/Inputs!$C$4))),'Steady State'!$A280-1)),M279)</f>
        <v>48712.842776949758</v>
      </c>
      <c r="N280" s="12">
        <f>MAX((Inputs!G$25*POWER(1+(Inputs!$C$3-(Inputs!$C$3*(('Steady State'!$A280-1)/Inputs!$C$4))),'Steady State'!$A280-1)),N279)</f>
        <v>20876.932618692754</v>
      </c>
      <c r="O280" s="12">
        <v>0</v>
      </c>
      <c r="P280" s="12">
        <v>0</v>
      </c>
    </row>
    <row r="281" spans="1:16" x14ac:dyDescent="0.35">
      <c r="A281">
        <v>279</v>
      </c>
      <c r="C281" s="14">
        <f t="shared" si="17"/>
        <v>1031366.1525422678</v>
      </c>
      <c r="D281" s="14">
        <f t="shared" si="18"/>
        <v>869531.03249907028</v>
      </c>
      <c r="E281" s="14">
        <f t="shared" si="19"/>
        <v>47476.064516653292</v>
      </c>
      <c r="F281" s="14">
        <f t="shared" si="16"/>
        <v>68870.109735735663</v>
      </c>
      <c r="H281" s="14" cm="1">
        <f t="array" ref="H281:K281">MMULT($C280:$F280,P_Matrix)</f>
        <v>982653.30976531806</v>
      </c>
      <c r="I281" s="14">
        <v>848654.09988037753</v>
      </c>
      <c r="J281" s="14">
        <v>47476.064516653292</v>
      </c>
      <c r="K281" s="14">
        <v>137713.43654266512</v>
      </c>
      <c r="M281" s="12">
        <f>MAX((Inputs!F$25*POWER(1+(Inputs!$C$3-(Inputs!$C$3*(('Steady State'!$A281-1)/Inputs!$C$4))),'Steady State'!$A281-1)),M280)</f>
        <v>48712.842776949758</v>
      </c>
      <c r="N281" s="12">
        <f>MAX((Inputs!G$25*POWER(1+(Inputs!$C$3-(Inputs!$C$3*(('Steady State'!$A281-1)/Inputs!$C$4))),'Steady State'!$A281-1)),N280)</f>
        <v>20876.932618692754</v>
      </c>
      <c r="O281" s="12">
        <v>0</v>
      </c>
      <c r="P281" s="12">
        <v>0</v>
      </c>
    </row>
    <row r="282" spans="1:16" x14ac:dyDescent="0.35">
      <c r="A282">
        <v>280</v>
      </c>
      <c r="C282" s="14">
        <f t="shared" si="17"/>
        <v>1031639.9429433374</v>
      </c>
      <c r="D282" s="14">
        <f t="shared" si="18"/>
        <v>869932.53976948757</v>
      </c>
      <c r="E282" s="14">
        <f t="shared" si="19"/>
        <v>47494.610560405359</v>
      </c>
      <c r="F282" s="14">
        <f t="shared" si="16"/>
        <v>68895.931680403446</v>
      </c>
      <c r="H282" s="14" cm="1">
        <f t="array" ref="H282:K282">MMULT($C281:$F281,P_Matrix)</f>
        <v>982927.10016638762</v>
      </c>
      <c r="I282" s="14">
        <v>849055.60715079482</v>
      </c>
      <c r="J282" s="14">
        <v>47494.610560405359</v>
      </c>
      <c r="K282" s="14">
        <v>137766.04141613911</v>
      </c>
      <c r="M282" s="12">
        <f>MAX((Inputs!F$25*POWER(1+(Inputs!$C$3-(Inputs!$C$3*(('Steady State'!$A282-1)/Inputs!$C$4))),'Steady State'!$A282-1)),M281)</f>
        <v>48712.842776949758</v>
      </c>
      <c r="N282" s="12">
        <f>MAX((Inputs!G$25*POWER(1+(Inputs!$C$3-(Inputs!$C$3*(('Steady State'!$A282-1)/Inputs!$C$4))),'Steady State'!$A282-1)),N281)</f>
        <v>20876.932618692754</v>
      </c>
      <c r="O282" s="12">
        <v>0</v>
      </c>
      <c r="P282" s="12">
        <v>0</v>
      </c>
    </row>
    <row r="283" spans="1:16" x14ac:dyDescent="0.35">
      <c r="A283">
        <v>281</v>
      </c>
      <c r="C283" s="14">
        <f t="shared" si="17"/>
        <v>1031903.1755974222</v>
      </c>
      <c r="D283" s="14">
        <f t="shared" si="18"/>
        <v>870320.37478659302</v>
      </c>
      <c r="E283" s="14">
        <f t="shared" si="19"/>
        <v>47512.491163371466</v>
      </c>
      <c r="F283" s="14">
        <f t="shared" si="16"/>
        <v>68920.827121486102</v>
      </c>
      <c r="H283" s="14" cm="1">
        <f t="array" ref="H283:K283">MMULT($C282:$F282,P_Matrix)</f>
        <v>983190.33282047242</v>
      </c>
      <c r="I283" s="14">
        <v>849443.44216790027</v>
      </c>
      <c r="J283" s="14">
        <v>47512.491163371466</v>
      </c>
      <c r="K283" s="14">
        <v>137816.75880188955</v>
      </c>
      <c r="M283" s="12">
        <f>MAX((Inputs!F$25*POWER(1+(Inputs!$C$3-(Inputs!$C$3*(('Steady State'!$A283-1)/Inputs!$C$4))),'Steady State'!$A283-1)),M282)</f>
        <v>48712.842776949758</v>
      </c>
      <c r="N283" s="12">
        <f>MAX((Inputs!G$25*POWER(1+(Inputs!$C$3-(Inputs!$C$3*(('Steady State'!$A283-1)/Inputs!$C$4))),'Steady State'!$A283-1)),N282)</f>
        <v>20876.932618692754</v>
      </c>
      <c r="O283" s="12">
        <v>0</v>
      </c>
      <c r="P283" s="12">
        <v>0</v>
      </c>
    </row>
    <row r="284" spans="1:16" x14ac:dyDescent="0.35">
      <c r="A284">
        <v>282</v>
      </c>
      <c r="C284" s="14">
        <f t="shared" si="17"/>
        <v>1032156.2807027297</v>
      </c>
      <c r="D284" s="14">
        <f t="shared" si="18"/>
        <v>870694.97673607315</v>
      </c>
      <c r="E284" s="14">
        <f t="shared" si="19"/>
        <v>47529.730201863029</v>
      </c>
      <c r="F284" s="14">
        <f t="shared" si="16"/>
        <v>68944.829302363301</v>
      </c>
      <c r="H284" s="14" cm="1">
        <f t="array" ref="H284:K284">MMULT($C283:$F283,P_Matrix)</f>
        <v>983443.43792577996</v>
      </c>
      <c r="I284" s="14">
        <v>849818.0441173804</v>
      </c>
      <c r="J284" s="14">
        <v>47529.730201863029</v>
      </c>
      <c r="K284" s="14">
        <v>137865.6564238494</v>
      </c>
      <c r="M284" s="12">
        <f>MAX((Inputs!F$25*POWER(1+(Inputs!$C$3-(Inputs!$C$3*(('Steady State'!$A284-1)/Inputs!$C$4))),'Steady State'!$A284-1)),M283)</f>
        <v>48712.842776949758</v>
      </c>
      <c r="N284" s="12">
        <f>MAX((Inputs!G$25*POWER(1+(Inputs!$C$3-(Inputs!$C$3*(('Steady State'!$A284-1)/Inputs!$C$4))),'Steady State'!$A284-1)),N283)</f>
        <v>20876.932618692754</v>
      </c>
      <c r="O284" s="12">
        <v>0</v>
      </c>
      <c r="P284" s="12">
        <v>0</v>
      </c>
    </row>
    <row r="285" spans="1:16" x14ac:dyDescent="0.35">
      <c r="A285">
        <v>283</v>
      </c>
      <c r="C285" s="14">
        <f t="shared" si="17"/>
        <v>1032399.6694250626</v>
      </c>
      <c r="D285" s="14">
        <f t="shared" si="18"/>
        <v>871056.77264211001</v>
      </c>
      <c r="E285" s="14">
        <f t="shared" si="19"/>
        <v>47546.35069550584</v>
      </c>
      <c r="F285" s="14">
        <f t="shared" si="16"/>
        <v>68967.97027362985</v>
      </c>
      <c r="H285" s="14" cm="1">
        <f t="array" ref="H285:K285">MMULT($C284:$F284,P_Matrix)</f>
        <v>983686.82664811285</v>
      </c>
      <c r="I285" s="14">
        <v>850179.84002341726</v>
      </c>
      <c r="J285" s="14">
        <v>47546.35069550584</v>
      </c>
      <c r="K285" s="14">
        <v>137912.79957599315</v>
      </c>
      <c r="M285" s="12">
        <f>MAX((Inputs!F$25*POWER(1+(Inputs!$C$3-(Inputs!$C$3*(('Steady State'!$A285-1)/Inputs!$C$4))),'Steady State'!$A285-1)),M284)</f>
        <v>48712.842776949758</v>
      </c>
      <c r="N285" s="12">
        <f>MAX((Inputs!G$25*POWER(1+(Inputs!$C$3-(Inputs!$C$3*(('Steady State'!$A285-1)/Inputs!$C$4))),'Steady State'!$A285-1)),N284)</f>
        <v>20876.932618692754</v>
      </c>
      <c r="O285" s="12">
        <v>0</v>
      </c>
      <c r="P285" s="12">
        <v>0</v>
      </c>
    </row>
    <row r="286" spans="1:16" x14ac:dyDescent="0.35">
      <c r="A286">
        <v>284</v>
      </c>
      <c r="C286" s="14">
        <f t="shared" si="17"/>
        <v>1032633.7348324802</v>
      </c>
      <c r="D286" s="14">
        <f t="shared" si="18"/>
        <v>871406.17755197373</v>
      </c>
      <c r="E286" s="14">
        <f t="shared" si="19"/>
        <v>47562.374837975229</v>
      </c>
      <c r="F286" s="14">
        <f t="shared" si="16"/>
        <v>68990.280935891642</v>
      </c>
      <c r="H286" s="14" cm="1">
        <f t="array" ref="H286:K286">MMULT($C285:$F285,P_Matrix)</f>
        <v>983920.89205553045</v>
      </c>
      <c r="I286" s="14">
        <v>850529.24493328098</v>
      </c>
      <c r="J286" s="14">
        <v>47562.374837975229</v>
      </c>
      <c r="K286" s="14">
        <v>137958.25120952149</v>
      </c>
      <c r="M286" s="12">
        <f>MAX((Inputs!F$25*POWER(1+(Inputs!$C$3-(Inputs!$C$3*(('Steady State'!$A286-1)/Inputs!$C$4))),'Steady State'!$A286-1)),M285)</f>
        <v>48712.842776949758</v>
      </c>
      <c r="N286" s="12">
        <f>MAX((Inputs!G$25*POWER(1+(Inputs!$C$3-(Inputs!$C$3*(('Steady State'!$A286-1)/Inputs!$C$4))),'Steady State'!$A286-1)),N285)</f>
        <v>20876.932618692754</v>
      </c>
      <c r="O286" s="12">
        <v>0</v>
      </c>
      <c r="P286" s="12">
        <v>0</v>
      </c>
    </row>
    <row r="287" spans="1:16" x14ac:dyDescent="0.35">
      <c r="A287">
        <v>285</v>
      </c>
      <c r="C287" s="14">
        <f t="shared" si="17"/>
        <v>1032858.8527787983</v>
      </c>
      <c r="D287" s="14">
        <f t="shared" si="18"/>
        <v>871743.59473161621</v>
      </c>
      <c r="E287" s="14">
        <f t="shared" si="19"/>
        <v>47577.824026629678</v>
      </c>
      <c r="F287" s="14">
        <f t="shared" si="16"/>
        <v>69011.791081027448</v>
      </c>
      <c r="H287" s="14" cm="1">
        <f t="array" ref="H287:K287">MMULT($C286:$F286,P_Matrix)</f>
        <v>984146.01000184857</v>
      </c>
      <c r="I287" s="14">
        <v>850866.66211292346</v>
      </c>
      <c r="J287" s="14">
        <v>47577.824026629678</v>
      </c>
      <c r="K287" s="14">
        <v>138002.07201691909</v>
      </c>
      <c r="M287" s="12">
        <f>MAX((Inputs!F$25*POWER(1+(Inputs!$C$3-(Inputs!$C$3*(('Steady State'!$A287-1)/Inputs!$C$4))),'Steady State'!$A287-1)),M286)</f>
        <v>48712.842776949758</v>
      </c>
      <c r="N287" s="12">
        <f>MAX((Inputs!G$25*POWER(1+(Inputs!$C$3-(Inputs!$C$3*(('Steady State'!$A287-1)/Inputs!$C$4))),'Steady State'!$A287-1)),N286)</f>
        <v>20876.932618692754</v>
      </c>
      <c r="O287" s="12">
        <v>0</v>
      </c>
      <c r="P287" s="12">
        <v>0</v>
      </c>
    </row>
    <row r="288" spans="1:16" x14ac:dyDescent="0.35">
      <c r="A288">
        <v>286</v>
      </c>
      <c r="C288" s="14">
        <f t="shared" si="17"/>
        <v>1033075.3827389991</v>
      </c>
      <c r="D288" s="14">
        <f t="shared" si="18"/>
        <v>872069.41587063565</v>
      </c>
      <c r="E288" s="14">
        <f t="shared" si="19"/>
        <v>47592.718891081953</v>
      </c>
      <c r="F288" s="14">
        <f t="shared" si="16"/>
        <v>69032.529431969859</v>
      </c>
      <c r="H288" s="14" cm="1">
        <f t="array" ref="H288:K288">MMULT($C287:$F287,P_Matrix)</f>
        <v>984362.53996204934</v>
      </c>
      <c r="I288" s="14">
        <v>851192.4832519429</v>
      </c>
      <c r="J288" s="14">
        <v>47592.718891081953</v>
      </c>
      <c r="K288" s="14">
        <v>138044.32051299731</v>
      </c>
      <c r="M288" s="12">
        <f>MAX((Inputs!F$25*POWER(1+(Inputs!$C$3-(Inputs!$C$3*(('Steady State'!$A288-1)/Inputs!$C$4))),'Steady State'!$A288-1)),M287)</f>
        <v>48712.842776949758</v>
      </c>
      <c r="N288" s="12">
        <f>MAX((Inputs!G$25*POWER(1+(Inputs!$C$3-(Inputs!$C$3*(('Steady State'!$A288-1)/Inputs!$C$4))),'Steady State'!$A288-1)),N287)</f>
        <v>20876.932618692754</v>
      </c>
      <c r="O288" s="12">
        <v>0</v>
      </c>
      <c r="P288" s="12">
        <v>0</v>
      </c>
    </row>
    <row r="289" spans="1:16" x14ac:dyDescent="0.35">
      <c r="A289">
        <v>287</v>
      </c>
      <c r="C289" s="14">
        <f t="shared" si="17"/>
        <v>1033283.6685994234</v>
      </c>
      <c r="D289" s="14">
        <f t="shared" si="18"/>
        <v>872384.0212951306</v>
      </c>
      <c r="E289" s="14">
        <f t="shared" si="19"/>
        <v>47607.079320745514</v>
      </c>
      <c r="F289" s="14">
        <f t="shared" si="16"/>
        <v>69052.523681059538</v>
      </c>
      <c r="H289" s="14" cm="1">
        <f t="array" ref="H289:K289">MMULT($C288:$F288,P_Matrix)</f>
        <v>984570.82582247362</v>
      </c>
      <c r="I289" s="14">
        <v>851507.08867643785</v>
      </c>
      <c r="J289" s="14">
        <v>47607.079320745514</v>
      </c>
      <c r="K289" s="14">
        <v>138085.0531130294</v>
      </c>
      <c r="M289" s="12">
        <f>MAX((Inputs!F$25*POWER(1+(Inputs!$C$3-(Inputs!$C$3*(('Steady State'!$A289-1)/Inputs!$C$4))),'Steady State'!$A289-1)),M288)</f>
        <v>48712.842776949758</v>
      </c>
      <c r="N289" s="12">
        <f>MAX((Inputs!G$25*POWER(1+(Inputs!$C$3-(Inputs!$C$3*(('Steady State'!$A289-1)/Inputs!$C$4))),'Steady State'!$A289-1)),N288)</f>
        <v>20876.932618692754</v>
      </c>
      <c r="O289" s="12">
        <v>0</v>
      </c>
      <c r="P289" s="12">
        <v>0</v>
      </c>
    </row>
    <row r="290" spans="1:16" x14ac:dyDescent="0.35">
      <c r="A290">
        <v>288</v>
      </c>
      <c r="C290" s="14">
        <f t="shared" si="17"/>
        <v>1033484.0394054335</v>
      </c>
      <c r="D290" s="14">
        <f t="shared" si="18"/>
        <v>872687.78018709249</v>
      </c>
      <c r="E290" s="14">
        <f t="shared" si="19"/>
        <v>47620.924491392849</v>
      </c>
      <c r="F290" s="14">
        <f t="shared" si="16"/>
        <v>69071.800527023006</v>
      </c>
      <c r="H290" s="14" cm="1">
        <f t="array" ref="H290:K290">MMULT($C289:$F289,P_Matrix)</f>
        <v>984771.19662848371</v>
      </c>
      <c r="I290" s="14">
        <v>851810.84756839974</v>
      </c>
      <c r="J290" s="14">
        <v>47620.924491392849</v>
      </c>
      <c r="K290" s="14">
        <v>138124.32420808254</v>
      </c>
      <c r="M290" s="12">
        <f>MAX((Inputs!F$25*POWER(1+(Inputs!$C$3-(Inputs!$C$3*(('Steady State'!$A290-1)/Inputs!$C$4))),'Steady State'!$A290-1)),M289)</f>
        <v>48712.842776949758</v>
      </c>
      <c r="N290" s="12">
        <f>MAX((Inputs!G$25*POWER(1+(Inputs!$C$3-(Inputs!$C$3*(('Steady State'!$A290-1)/Inputs!$C$4))),'Steady State'!$A290-1)),N289)</f>
        <v>20876.932618692754</v>
      </c>
      <c r="O290" s="12">
        <v>0</v>
      </c>
      <c r="P290" s="12">
        <v>0</v>
      </c>
    </row>
    <row r="291" spans="1:16" x14ac:dyDescent="0.35">
      <c r="A291">
        <v>289</v>
      </c>
      <c r="C291" s="14">
        <f t="shared" si="17"/>
        <v>1033676.8100690674</v>
      </c>
      <c r="D291" s="14">
        <f t="shared" si="18"/>
        <v>872981.05080910889</v>
      </c>
      <c r="E291" s="14">
        <f t="shared" si="19"/>
        <v>47634.272890760971</v>
      </c>
      <c r="F291" s="14">
        <f t="shared" si="16"/>
        <v>69090.385710623988</v>
      </c>
      <c r="H291" s="14" cm="1">
        <f t="array" ref="H291:K291">MMULT($C290:$F290,P_Matrix)</f>
        <v>984963.96729211765</v>
      </c>
      <c r="I291" s="14">
        <v>852104.11819041613</v>
      </c>
      <c r="J291" s="14">
        <v>47634.272890760971</v>
      </c>
      <c r="K291" s="14">
        <v>138162.18623764699</v>
      </c>
      <c r="M291" s="12">
        <f>MAX((Inputs!F$25*POWER(1+(Inputs!$C$3-(Inputs!$C$3*(('Steady State'!$A291-1)/Inputs!$C$4))),'Steady State'!$A291-1)),M290)</f>
        <v>48712.842776949758</v>
      </c>
      <c r="N291" s="12">
        <f>MAX((Inputs!G$25*POWER(1+(Inputs!$C$3-(Inputs!$C$3*(('Steady State'!$A291-1)/Inputs!$C$4))),'Steady State'!$A291-1)),N290)</f>
        <v>20876.932618692754</v>
      </c>
      <c r="O291" s="12">
        <v>0</v>
      </c>
      <c r="P291" s="12">
        <v>0</v>
      </c>
    </row>
    <row r="292" spans="1:16" x14ac:dyDescent="0.35">
      <c r="A292">
        <v>290</v>
      </c>
      <c r="C292" s="14">
        <f t="shared" si="17"/>
        <v>1033862.2820390404</v>
      </c>
      <c r="D292" s="14">
        <f t="shared" si="18"/>
        <v>873264.18073326559</v>
      </c>
      <c r="E292" s="14">
        <f t="shared" si="19"/>
        <v>47647.142343238345</v>
      </c>
      <c r="F292" s="14">
        <f t="shared" si="16"/>
        <v>69108.304049035534</v>
      </c>
      <c r="H292" s="14" cm="1">
        <f t="array" ref="H292:K292">MMULT($C291:$F291,P_Matrix)</f>
        <v>985149.4392620906</v>
      </c>
      <c r="I292" s="14">
        <v>852387.24811457284</v>
      </c>
      <c r="J292" s="14">
        <v>47647.142343238345</v>
      </c>
      <c r="K292" s="14">
        <v>138198.68975965952</v>
      </c>
      <c r="M292" s="12">
        <f>MAX((Inputs!F$25*POWER(1+(Inputs!$C$3-(Inputs!$C$3*(('Steady State'!$A292-1)/Inputs!$C$4))),'Steady State'!$A292-1)),M291)</f>
        <v>48712.842776949758</v>
      </c>
      <c r="N292" s="12">
        <f>MAX((Inputs!G$25*POWER(1+(Inputs!$C$3-(Inputs!$C$3*(('Steady State'!$A292-1)/Inputs!$C$4))),'Steady State'!$A292-1)),N291)</f>
        <v>20876.932618692754</v>
      </c>
      <c r="O292" s="12">
        <v>0</v>
      </c>
      <c r="P292" s="12">
        <v>0</v>
      </c>
    </row>
    <row r="293" spans="1:16" x14ac:dyDescent="0.35">
      <c r="A293">
        <v>291</v>
      </c>
      <c r="C293" s="14">
        <f t="shared" si="17"/>
        <v>1034040.7439353041</v>
      </c>
      <c r="D293" s="14">
        <f t="shared" si="18"/>
        <v>873537.50707323779</v>
      </c>
      <c r="E293" s="14">
        <f t="shared" si="19"/>
        <v>47659.550033666063</v>
      </c>
      <c r="F293" s="14">
        <f t="shared" si="16"/>
        <v>69125.579468978744</v>
      </c>
      <c r="H293" s="14" cm="1">
        <f t="array" ref="H293:K293">MMULT($C292:$F292,P_Matrix)</f>
        <v>985327.90115835436</v>
      </c>
      <c r="I293" s="14">
        <v>852660.57445454504</v>
      </c>
      <c r="J293" s="14">
        <v>47659.550033666063</v>
      </c>
      <c r="K293" s="14">
        <v>138233.88351801428</v>
      </c>
      <c r="M293" s="12">
        <f>MAX((Inputs!F$25*POWER(1+(Inputs!$C$3-(Inputs!$C$3*(('Steady State'!$A293-1)/Inputs!$C$4))),'Steady State'!$A293-1)),M292)</f>
        <v>48712.842776949758</v>
      </c>
      <c r="N293" s="12">
        <f>MAX((Inputs!G$25*POWER(1+(Inputs!$C$3-(Inputs!$C$3*(('Steady State'!$A293-1)/Inputs!$C$4))),'Steady State'!$A293-1)),N292)</f>
        <v>20876.932618692754</v>
      </c>
      <c r="O293" s="12">
        <v>0</v>
      </c>
      <c r="P293" s="12">
        <v>0</v>
      </c>
    </row>
    <row r="294" spans="1:16" x14ac:dyDescent="0.35">
      <c r="A294">
        <v>292</v>
      </c>
      <c r="C294" s="14">
        <f t="shared" si="17"/>
        <v>1034212.4721502345</v>
      </c>
      <c r="D294" s="14">
        <f t="shared" si="18"/>
        <v>873801.356718658</v>
      </c>
      <c r="E294" s="14">
        <f t="shared" si="19"/>
        <v>47671.51253028505</v>
      </c>
      <c r="F294" s="14">
        <f t="shared" si="16"/>
        <v>69142.235038672778</v>
      </c>
      <c r="H294" s="14" cm="1">
        <f t="array" ref="H294:K294">MMULT($C293:$F293,P_Matrix)</f>
        <v>985499.62937328476</v>
      </c>
      <c r="I294" s="14">
        <v>852924.42409996525</v>
      </c>
      <c r="J294" s="14">
        <v>47671.51253028505</v>
      </c>
      <c r="K294" s="14">
        <v>138267.81450765152</v>
      </c>
      <c r="M294" s="12">
        <f>MAX((Inputs!F$25*POWER(1+(Inputs!$C$3-(Inputs!$C$3*(('Steady State'!$A294-1)/Inputs!$C$4))),'Steady State'!$A294-1)),M293)</f>
        <v>48712.842776949758</v>
      </c>
      <c r="N294" s="12">
        <f>MAX((Inputs!G$25*POWER(1+(Inputs!$C$3-(Inputs!$C$3*(('Steady State'!$A294-1)/Inputs!$C$4))),'Steady State'!$A294-1)),N293)</f>
        <v>20876.932618692754</v>
      </c>
      <c r="O294" s="12">
        <v>0</v>
      </c>
      <c r="P294" s="12">
        <v>0</v>
      </c>
    </row>
    <row r="295" spans="1:16" x14ac:dyDescent="0.35">
      <c r="A295">
        <v>293</v>
      </c>
      <c r="C295" s="14">
        <f t="shared" si="17"/>
        <v>1034377.7314183852</v>
      </c>
      <c r="D295" s="14">
        <f t="shared" si="18"/>
        <v>874056.0465709368</v>
      </c>
      <c r="E295" s="14">
        <f t="shared" si="19"/>
        <v>47683.045806859955</v>
      </c>
      <c r="F295" s="14">
        <f t="shared" si="16"/>
        <v>69158.292998638033</v>
      </c>
      <c r="H295" s="14" cm="1">
        <f t="array" ref="H295:K295">MMULT($C294:$F294,P_Matrix)</f>
        <v>985664.88864143542</v>
      </c>
      <c r="I295" s="14">
        <v>853179.11395224405</v>
      </c>
      <c r="J295" s="14">
        <v>47683.045806859955</v>
      </c>
      <c r="K295" s="14">
        <v>138300.52803731081</v>
      </c>
      <c r="M295" s="12">
        <f>MAX((Inputs!F$25*POWER(1+(Inputs!$C$3-(Inputs!$C$3*(('Steady State'!$A295-1)/Inputs!$C$4))),'Steady State'!$A295-1)),M294)</f>
        <v>48712.842776949758</v>
      </c>
      <c r="N295" s="12">
        <f>MAX((Inputs!G$25*POWER(1+(Inputs!$C$3-(Inputs!$C$3*(('Steady State'!$A295-1)/Inputs!$C$4))),'Steady State'!$A295-1)),N294)</f>
        <v>20876.932618692754</v>
      </c>
      <c r="O295" s="12">
        <v>0</v>
      </c>
      <c r="P295" s="12">
        <v>0</v>
      </c>
    </row>
    <row r="296" spans="1:16" x14ac:dyDescent="0.35">
      <c r="A296">
        <v>294</v>
      </c>
      <c r="C296" s="14">
        <f t="shared" si="17"/>
        <v>1034536.7753566272</v>
      </c>
      <c r="D296" s="14">
        <f t="shared" si="18"/>
        <v>874301.88377979328</v>
      </c>
      <c r="E296" s="14">
        <f t="shared" si="19"/>
        <v>47694.165264009192</v>
      </c>
      <c r="F296" s="14">
        <f t="shared" si="16"/>
        <v>69173.774791394651</v>
      </c>
      <c r="H296" s="14" cm="1">
        <f t="array" ref="H296:K296">MMULT($C295:$F295,P_Matrix)</f>
        <v>985823.93257967744</v>
      </c>
      <c r="I296" s="14">
        <v>853424.95116110053</v>
      </c>
      <c r="J296" s="14">
        <v>47694.165264009192</v>
      </c>
      <c r="K296" s="14">
        <v>138332.06779003268</v>
      </c>
      <c r="M296" s="12">
        <f>MAX((Inputs!F$25*POWER(1+(Inputs!$C$3-(Inputs!$C$3*(('Steady State'!$A296-1)/Inputs!$C$4))),'Steady State'!$A296-1)),M295)</f>
        <v>48712.842776949758</v>
      </c>
      <c r="N296" s="12">
        <f>MAX((Inputs!G$25*POWER(1+(Inputs!$C$3-(Inputs!$C$3*(('Steady State'!$A296-1)/Inputs!$C$4))),'Steady State'!$A296-1)),N295)</f>
        <v>20876.932618692754</v>
      </c>
      <c r="O296" s="12">
        <v>0</v>
      </c>
      <c r="P296" s="12">
        <v>0</v>
      </c>
    </row>
    <row r="297" spans="1:16" x14ac:dyDescent="0.35">
      <c r="A297">
        <v>295</v>
      </c>
      <c r="C297" s="14">
        <f t="shared" si="17"/>
        <v>1034689.8469763781</v>
      </c>
      <c r="D297" s="14">
        <f t="shared" si="18"/>
        <v>874539.16597982938</v>
      </c>
      <c r="E297" s="14">
        <f t="shared" si="19"/>
        <v>47704.885749769717</v>
      </c>
      <c r="F297" s="14">
        <f t="shared" si="16"/>
        <v>69188.701090094924</v>
      </c>
      <c r="H297" s="14" cm="1">
        <f t="array" ref="H297:K297">MMULT($C296:$F296,P_Matrix)</f>
        <v>985977.00419942837</v>
      </c>
      <c r="I297" s="14">
        <v>853662.23336113663</v>
      </c>
      <c r="J297" s="14">
        <v>47704.885749769717</v>
      </c>
      <c r="K297" s="14">
        <v>138362.47588148958</v>
      </c>
      <c r="M297" s="12">
        <f>MAX((Inputs!F$25*POWER(1+(Inputs!$C$3-(Inputs!$C$3*(('Steady State'!$A297-1)/Inputs!$C$4))),'Steady State'!$A297-1)),M296)</f>
        <v>48712.842776949758</v>
      </c>
      <c r="N297" s="12">
        <f>MAX((Inputs!G$25*POWER(1+(Inputs!$C$3-(Inputs!$C$3*(('Steady State'!$A297-1)/Inputs!$C$4))),'Steady State'!$A297-1)),N296)</f>
        <v>20876.932618692754</v>
      </c>
      <c r="O297" s="12">
        <v>0</v>
      </c>
      <c r="P297" s="12">
        <v>0</v>
      </c>
    </row>
    <row r="298" spans="1:16" x14ac:dyDescent="0.35">
      <c r="A298">
        <v>296</v>
      </c>
      <c r="C298" s="14">
        <f t="shared" si="17"/>
        <v>1034837.1791695204</v>
      </c>
      <c r="D298" s="14">
        <f t="shared" si="18"/>
        <v>874768.18152654672</v>
      </c>
      <c r="E298" s="14">
        <f t="shared" si="19"/>
        <v>47715.221579423902</v>
      </c>
      <c r="F298" s="14">
        <f t="shared" si="16"/>
        <v>69203.091826128657</v>
      </c>
      <c r="H298" s="14" cm="1">
        <f t="array" ref="H298:K298">MMULT($C297:$F297,P_Matrix)</f>
        <v>986124.33639257064</v>
      </c>
      <c r="I298" s="14">
        <v>853891.24890785397</v>
      </c>
      <c r="J298" s="14">
        <v>47715.221579423902</v>
      </c>
      <c r="K298" s="14">
        <v>138391.79291622358</v>
      </c>
      <c r="M298" s="12">
        <f>MAX((Inputs!F$25*POWER(1+(Inputs!$C$3-(Inputs!$C$3*(('Steady State'!$A298-1)/Inputs!$C$4))),'Steady State'!$A298-1)),M297)</f>
        <v>48712.842776949758</v>
      </c>
      <c r="N298" s="12">
        <f>MAX((Inputs!G$25*POWER(1+(Inputs!$C$3-(Inputs!$C$3*(('Steady State'!$A298-1)/Inputs!$C$4))),'Steady State'!$A298-1)),N297)</f>
        <v>20876.932618692754</v>
      </c>
      <c r="O298" s="12">
        <v>0</v>
      </c>
      <c r="P298" s="12">
        <v>0</v>
      </c>
    </row>
    <row r="299" spans="1:16" x14ac:dyDescent="0.35">
      <c r="A299">
        <v>297</v>
      </c>
      <c r="C299" s="14">
        <f t="shared" si="17"/>
        <v>1034978.9951695068</v>
      </c>
      <c r="D299" s="14">
        <f t="shared" si="18"/>
        <v>874989.2097312737</v>
      </c>
      <c r="E299" s="14">
        <f t="shared" si="19"/>
        <v>47725.186554615007</v>
      </c>
      <c r="F299" s="14">
        <f t="shared" si="16"/>
        <v>69216.966215737979</v>
      </c>
      <c r="H299" s="14" cm="1">
        <f t="array" ref="H299:K299">MMULT($C298:$F298,P_Matrix)</f>
        <v>986266.15239255701</v>
      </c>
      <c r="I299" s="14">
        <v>854112.27711258095</v>
      </c>
      <c r="J299" s="14">
        <v>47725.186554615007</v>
      </c>
      <c r="K299" s="14">
        <v>138420.05804186664</v>
      </c>
      <c r="M299" s="12">
        <f>MAX((Inputs!F$25*POWER(1+(Inputs!$C$3-(Inputs!$C$3*(('Steady State'!$A299-1)/Inputs!$C$4))),'Steady State'!$A299-1)),M298)</f>
        <v>48712.842776949758</v>
      </c>
      <c r="N299" s="12">
        <f>MAX((Inputs!G$25*POWER(1+(Inputs!$C$3-(Inputs!$C$3*(('Steady State'!$A299-1)/Inputs!$C$4))),'Steady State'!$A299-1)),N298)</f>
        <v>20876.932618692754</v>
      </c>
      <c r="O299" s="12">
        <v>0</v>
      </c>
      <c r="P299" s="12">
        <v>0</v>
      </c>
    </row>
    <row r="300" spans="1:16" x14ac:dyDescent="0.35">
      <c r="A300">
        <v>298</v>
      </c>
      <c r="C300" s="14">
        <f t="shared" si="17"/>
        <v>1035115.5089890603</v>
      </c>
      <c r="D300" s="14">
        <f t="shared" si="18"/>
        <v>875202.5210945236</v>
      </c>
      <c r="E300" s="14">
        <f t="shared" si="19"/>
        <v>47734.793981776806</v>
      </c>
      <c r="F300" s="14">
        <f t="shared" si="16"/>
        <v>69230.342785677174</v>
      </c>
      <c r="H300" s="14" cm="1">
        <f t="array" ref="H300:K300">MMULT($C299:$F299,P_Matrix)</f>
        <v>986402.66621211055</v>
      </c>
      <c r="I300" s="14">
        <v>854325.58847583085</v>
      </c>
      <c r="J300" s="14">
        <v>47734.793981776806</v>
      </c>
      <c r="K300" s="14">
        <v>138447.30900141515</v>
      </c>
      <c r="M300" s="12">
        <f>MAX((Inputs!F$25*POWER(1+(Inputs!$C$3-(Inputs!$C$3*(('Steady State'!$A300-1)/Inputs!$C$4))),'Steady State'!$A300-1)),M299)</f>
        <v>48712.842776949758</v>
      </c>
      <c r="N300" s="12">
        <f>MAX((Inputs!G$25*POWER(1+(Inputs!$C$3-(Inputs!$C$3*(('Steady State'!$A300-1)/Inputs!$C$4))),'Steady State'!$A300-1)),N299)</f>
        <v>20876.932618692754</v>
      </c>
      <c r="O300" s="12">
        <v>0</v>
      </c>
      <c r="P300" s="12">
        <v>0</v>
      </c>
    </row>
    <row r="301" spans="1:16" x14ac:dyDescent="0.35">
      <c r="A301">
        <v>299</v>
      </c>
      <c r="C301" s="14">
        <f t="shared" si="17"/>
        <v>1035246.9258357894</v>
      </c>
      <c r="D301" s="14">
        <f t="shared" si="18"/>
        <v>875408.37753736018</v>
      </c>
      <c r="E301" s="14">
        <f t="shared" si="19"/>
        <v>47744.056689901918</v>
      </c>
      <c r="F301" s="14">
        <f t="shared" si="16"/>
        <v>69243.239397951722</v>
      </c>
      <c r="H301" s="14" cm="1">
        <f t="array" ref="H301:K301">MMULT($C300:$F300,P_Matrix)</f>
        <v>986534.08305883966</v>
      </c>
      <c r="I301" s="14">
        <v>854531.44491866743</v>
      </c>
      <c r="J301" s="14">
        <v>47744.056689901918</v>
      </c>
      <c r="K301" s="14">
        <v>138473.5821836289</v>
      </c>
      <c r="M301" s="12">
        <f>MAX((Inputs!F$25*POWER(1+(Inputs!$C$3-(Inputs!$C$3*(('Steady State'!$A301-1)/Inputs!$C$4))),'Steady State'!$A301-1)),M300)</f>
        <v>48712.842776949758</v>
      </c>
      <c r="N301" s="12">
        <f>MAX((Inputs!G$25*POWER(1+(Inputs!$C$3-(Inputs!$C$3*(('Steady State'!$A301-1)/Inputs!$C$4))),'Steady State'!$A301-1)),N300)</f>
        <v>20876.932618692754</v>
      </c>
      <c r="O301" s="12">
        <v>0</v>
      </c>
      <c r="P301" s="12">
        <v>0</v>
      </c>
    </row>
    <row r="302" spans="1:16" x14ac:dyDescent="0.35">
      <c r="A302">
        <v>300</v>
      </c>
      <c r="C302" s="14">
        <f t="shared" si="17"/>
        <v>1035373.4425069556</v>
      </c>
      <c r="D302" s="14">
        <f t="shared" si="18"/>
        <v>875607.03263039573</v>
      </c>
      <c r="E302" s="14">
        <f t="shared" si="19"/>
        <v>47752.98704767265</v>
      </c>
      <c r="F302" s="14">
        <f t="shared" si="16"/>
        <v>69255.673273669963</v>
      </c>
      <c r="H302" s="14" cm="1">
        <f t="array" ref="H302:K302">MMULT($C301:$F301,P_Matrix)</f>
        <v>986660.59973000584</v>
      </c>
      <c r="I302" s="14">
        <v>854730.10001170298</v>
      </c>
      <c r="J302" s="14">
        <v>47752.98704767265</v>
      </c>
      <c r="K302" s="14">
        <v>138498.91267162169</v>
      </c>
      <c r="M302" s="12">
        <f>MAX((Inputs!F$25*POWER(1+(Inputs!$C$3-(Inputs!$C$3*(('Steady State'!$A302-1)/Inputs!$C$4))),'Steady State'!$A302-1)),M301)</f>
        <v>48712.842776949758</v>
      </c>
      <c r="N302" s="12">
        <f>MAX((Inputs!G$25*POWER(1+(Inputs!$C$3-(Inputs!$C$3*(('Steady State'!$A302-1)/Inputs!$C$4))),'Steady State'!$A302-1)),N301)</f>
        <v>20876.932618692754</v>
      </c>
      <c r="O302" s="12">
        <v>0</v>
      </c>
      <c r="P302" s="12">
        <v>0</v>
      </c>
    </row>
    <row r="303" spans="1:16" x14ac:dyDescent="0.35">
      <c r="A303">
        <v>301</v>
      </c>
      <c r="C303" s="14">
        <f t="shared" si="17"/>
        <v>1035495.2477645591</v>
      </c>
      <c r="D303" s="14">
        <f t="shared" si="18"/>
        <v>875798.73182009137</v>
      </c>
      <c r="E303" s="14">
        <f t="shared" si="19"/>
        <v>47761.596979977105</v>
      </c>
      <c r="F303" s="14">
        <f t="shared" si="16"/>
        <v>69267.661016038706</v>
      </c>
      <c r="H303" s="14" cm="1">
        <f t="array" ref="H303:K303">MMULT($C302:$F302,P_Matrix)</f>
        <v>986782.40498760936</v>
      </c>
      <c r="I303" s="14">
        <v>854921.79920139862</v>
      </c>
      <c r="J303" s="14">
        <v>47761.596979977105</v>
      </c>
      <c r="K303" s="14">
        <v>138523.33428970867</v>
      </c>
      <c r="M303" s="12">
        <f>MAX((Inputs!F$25*POWER(1+(Inputs!$C$3-(Inputs!$C$3*(('Steady State'!$A303-1)/Inputs!$C$4))),'Steady State'!$A303-1)),M302)</f>
        <v>48712.842776949758</v>
      </c>
      <c r="N303" s="12">
        <f>MAX((Inputs!G$25*POWER(1+(Inputs!$C$3-(Inputs!$C$3*(('Steady State'!$A303-1)/Inputs!$C$4))),'Steady State'!$A303-1)),N302)</f>
        <v>20876.932618692754</v>
      </c>
      <c r="O303" s="12">
        <v>0</v>
      </c>
      <c r="P303" s="12">
        <v>0</v>
      </c>
    </row>
    <row r="304" spans="1:16" x14ac:dyDescent="0.35">
      <c r="A304">
        <v>302</v>
      </c>
      <c r="C304" s="14">
        <f t="shared" si="17"/>
        <v>1035612.5226918339</v>
      </c>
      <c r="D304" s="14">
        <f t="shared" si="18"/>
        <v>875983.71265206952</v>
      </c>
      <c r="E304" s="14">
        <f t="shared" si="19"/>
        <v>47769.897983832765</v>
      </c>
      <c r="F304" s="14">
        <f t="shared" si="16"/>
        <v>69279.218632533768</v>
      </c>
      <c r="H304" s="14" cm="1">
        <f t="array" ref="H304:K304">MMULT($C303:$F303,P_Matrix)</f>
        <v>986899.67991488415</v>
      </c>
      <c r="I304" s="14">
        <v>855106.78003337677</v>
      </c>
      <c r="J304" s="14">
        <v>47769.897983832765</v>
      </c>
      <c r="K304" s="14">
        <v>138546.87964857247</v>
      </c>
      <c r="M304" s="12">
        <f>MAX((Inputs!F$25*POWER(1+(Inputs!$C$3-(Inputs!$C$3*(('Steady State'!$A304-1)/Inputs!$C$4))),'Steady State'!$A304-1)),M303)</f>
        <v>48712.842776949758</v>
      </c>
      <c r="N304" s="12">
        <f>MAX((Inputs!G$25*POWER(1+(Inputs!$C$3-(Inputs!$C$3*(('Steady State'!$A304-1)/Inputs!$C$4))),'Steady State'!$A304-1)),N303)</f>
        <v>20876.932618692754</v>
      </c>
      <c r="O304" s="12">
        <v>0</v>
      </c>
      <c r="P304" s="12">
        <v>0</v>
      </c>
    </row>
    <row r="305" spans="1:16" x14ac:dyDescent="0.35">
      <c r="A305">
        <v>303</v>
      </c>
      <c r="C305" s="14">
        <f t="shared" si="17"/>
        <v>1035725.4410321775</v>
      </c>
      <c r="D305" s="14">
        <f t="shared" si="18"/>
        <v>876162.20499118709</v>
      </c>
      <c r="E305" s="14">
        <f t="shared" si="19"/>
        <v>47777.901143738694</v>
      </c>
      <c r="F305" s="14">
        <f t="shared" si="16"/>
        <v>69290.361556275311</v>
      </c>
      <c r="H305" s="14" cm="1">
        <f t="array" ref="H305:K305">MMULT($C304:$F304,P_Matrix)</f>
        <v>987012.59825522779</v>
      </c>
      <c r="I305" s="14">
        <v>855285.27237249434</v>
      </c>
      <c r="J305" s="14">
        <v>47777.901143738694</v>
      </c>
      <c r="K305" s="14">
        <v>138569.58018880908</v>
      </c>
      <c r="M305" s="12">
        <f>MAX((Inputs!F$25*POWER(1+(Inputs!$C$3-(Inputs!$C$3*(('Steady State'!$A305-1)/Inputs!$C$4))),'Steady State'!$A305-1)),M304)</f>
        <v>48712.842776949758</v>
      </c>
      <c r="N305" s="12">
        <f>MAX((Inputs!G$25*POWER(1+(Inputs!$C$3-(Inputs!$C$3*(('Steady State'!$A305-1)/Inputs!$C$4))),'Steady State'!$A305-1)),N304)</f>
        <v>20876.932618692754</v>
      </c>
      <c r="O305" s="12">
        <v>0</v>
      </c>
      <c r="P305" s="12">
        <v>0</v>
      </c>
    </row>
    <row r="306" spans="1:16" x14ac:dyDescent="0.35">
      <c r="A306">
        <v>304</v>
      </c>
      <c r="C306" s="14">
        <f t="shared" si="17"/>
        <v>1035834.1695114824</v>
      </c>
      <c r="D306" s="14">
        <f t="shared" si="18"/>
        <v>876334.43123815092</v>
      </c>
      <c r="E306" s="14">
        <f t="shared" si="19"/>
        <v>47785.617146476856</v>
      </c>
      <c r="F306" s="14">
        <f t="shared" si="16"/>
        <v>69301.104666635598</v>
      </c>
      <c r="H306" s="14" cm="1">
        <f t="array" ref="H306:K306">MMULT($C305:$F305,P_Matrix)</f>
        <v>987121.3267345326</v>
      </c>
      <c r="I306" s="14">
        <v>855457.49861945817</v>
      </c>
      <c r="J306" s="14">
        <v>47785.617146476856</v>
      </c>
      <c r="K306" s="14">
        <v>138591.46622291091</v>
      </c>
      <c r="M306" s="12">
        <f>MAX((Inputs!F$25*POWER(1+(Inputs!$C$3-(Inputs!$C$3*(('Steady State'!$A306-1)/Inputs!$C$4))),'Steady State'!$A306-1)),M305)</f>
        <v>48712.842776949758</v>
      </c>
      <c r="N306" s="12">
        <f>MAX((Inputs!G$25*POWER(1+(Inputs!$C$3-(Inputs!$C$3*(('Steady State'!$A306-1)/Inputs!$C$4))),'Steady State'!$A306-1)),N305)</f>
        <v>20876.932618692754</v>
      </c>
      <c r="O306" s="12">
        <v>0</v>
      </c>
      <c r="P306" s="12">
        <v>0</v>
      </c>
    </row>
    <row r="307" spans="1:16" x14ac:dyDescent="0.35">
      <c r="A307">
        <v>305</v>
      </c>
      <c r="C307" s="14">
        <f t="shared" si="17"/>
        <v>1035938.8681447722</v>
      </c>
      <c r="D307" s="14">
        <f t="shared" si="18"/>
        <v>876500.60654248949</v>
      </c>
      <c r="E307" s="14">
        <f t="shared" si="19"/>
        <v>47793.056295382441</v>
      </c>
      <c r="F307" s="14">
        <f t="shared" si="16"/>
        <v>69311.462309108203</v>
      </c>
      <c r="H307" s="14" cm="1">
        <f t="array" ref="H307:K307">MMULT($C306:$F306,P_Matrix)</f>
        <v>987226.0253678225</v>
      </c>
      <c r="I307" s="14">
        <v>855623.67392379674</v>
      </c>
      <c r="J307" s="14">
        <v>47793.056295382441</v>
      </c>
      <c r="K307" s="14">
        <v>138612.5669757438</v>
      </c>
      <c r="M307" s="12">
        <f>MAX((Inputs!F$25*POWER(1+(Inputs!$C$3-(Inputs!$C$3*(('Steady State'!$A307-1)/Inputs!$C$4))),'Steady State'!$A307-1)),M306)</f>
        <v>48712.842776949758</v>
      </c>
      <c r="N307" s="12">
        <f>MAX((Inputs!G$25*POWER(1+(Inputs!$C$3-(Inputs!$C$3*(('Steady State'!$A307-1)/Inputs!$C$4))),'Steady State'!$A307-1)),N306)</f>
        <v>20876.932618692754</v>
      </c>
      <c r="O307" s="12">
        <v>0</v>
      </c>
      <c r="P307" s="12">
        <v>0</v>
      </c>
    </row>
    <row r="308" spans="1:16" x14ac:dyDescent="0.35">
      <c r="A308">
        <v>306</v>
      </c>
      <c r="C308" s="14">
        <f t="shared" si="17"/>
        <v>1036039.6905279987</v>
      </c>
      <c r="D308" s="14">
        <f t="shared" si="18"/>
        <v>876660.93901172222</v>
      </c>
      <c r="E308" s="14">
        <f t="shared" si="19"/>
        <v>47800.228524102087</v>
      </c>
      <c r="F308" s="14">
        <f t="shared" si="16"/>
        <v>69321.448314463458</v>
      </c>
      <c r="H308" s="14" cm="1">
        <f t="array" ref="H308:K308">MMULT($C307:$F307,P_Matrix)</f>
        <v>987326.84775104898</v>
      </c>
      <c r="I308" s="14">
        <v>855784.00639302947</v>
      </c>
      <c r="J308" s="14">
        <v>47800.228524102087</v>
      </c>
      <c r="K308" s="14">
        <v>138632.91062357166</v>
      </c>
      <c r="M308" s="12">
        <f>MAX((Inputs!F$25*POWER(1+(Inputs!$C$3-(Inputs!$C$3*(('Steady State'!$A308-1)/Inputs!$C$4))),'Steady State'!$A308-1)),M307)</f>
        <v>48712.842776949758</v>
      </c>
      <c r="N308" s="12">
        <f>MAX((Inputs!G$25*POWER(1+(Inputs!$C$3-(Inputs!$C$3*(('Steady State'!$A308-1)/Inputs!$C$4))),'Steady State'!$A308-1)),N307)</f>
        <v>20876.932618692754</v>
      </c>
      <c r="O308" s="12">
        <v>0</v>
      </c>
      <c r="P308" s="12">
        <v>0</v>
      </c>
    </row>
    <row r="309" spans="1:16" x14ac:dyDescent="0.35">
      <c r="A309">
        <v>307</v>
      </c>
      <c r="C309" s="14">
        <f t="shared" si="17"/>
        <v>1036136.784115796</v>
      </c>
      <c r="D309" s="14">
        <f t="shared" si="18"/>
        <v>876815.6299165939</v>
      </c>
      <c r="E309" s="14">
        <f t="shared" si="19"/>
        <v>47807.143409858458</v>
      </c>
      <c r="F309" s="14">
        <f t="shared" si="16"/>
        <v>69331.076017217158</v>
      </c>
      <c r="H309" s="14" cm="1">
        <f t="array" ref="H309:K309">MMULT($C308:$F308,P_Matrix)</f>
        <v>987423.94133884623</v>
      </c>
      <c r="I309" s="14">
        <v>855938.69729790115</v>
      </c>
      <c r="J309" s="14">
        <v>47807.143409858458</v>
      </c>
      <c r="K309" s="14">
        <v>138652.52433168062</v>
      </c>
      <c r="M309" s="12">
        <f>MAX((Inputs!F$25*POWER(1+(Inputs!$C$3-(Inputs!$C$3*(('Steady State'!$A309-1)/Inputs!$C$4))),'Steady State'!$A309-1)),M308)</f>
        <v>48712.842776949758</v>
      </c>
      <c r="N309" s="12">
        <f>MAX((Inputs!G$25*POWER(1+(Inputs!$C$3-(Inputs!$C$3*(('Steady State'!$A309-1)/Inputs!$C$4))),'Steady State'!$A309-1)),N308)</f>
        <v>20876.932618692754</v>
      </c>
      <c r="O309" s="12">
        <v>0</v>
      </c>
      <c r="P309" s="12">
        <v>0</v>
      </c>
    </row>
    <row r="310" spans="1:16" x14ac:dyDescent="0.35">
      <c r="A310">
        <v>308</v>
      </c>
      <c r="C310" s="14">
        <f t="shared" si="17"/>
        <v>1036230.2904859497</v>
      </c>
      <c r="D310" s="14">
        <f t="shared" si="18"/>
        <v>876964.87389226572</v>
      </c>
      <c r="E310" s="14">
        <f t="shared" si="19"/>
        <v>47813.810186238974</v>
      </c>
      <c r="F310" s="14">
        <f t="shared" si="16"/>
        <v>69340.358273436315</v>
      </c>
      <c r="H310" s="14" cm="1">
        <f t="array" ref="H310:K310">MMULT($C309:$F309,P_Matrix)</f>
        <v>987517.44770899997</v>
      </c>
      <c r="I310" s="14">
        <v>856087.94127357297</v>
      </c>
      <c r="J310" s="14">
        <v>47813.810186238974</v>
      </c>
      <c r="K310" s="14">
        <v>138671.43429065347</v>
      </c>
      <c r="M310" s="12">
        <f>MAX((Inputs!F$25*POWER(1+(Inputs!$C$3-(Inputs!$C$3*(('Steady State'!$A310-1)/Inputs!$C$4))),'Steady State'!$A310-1)),M309)</f>
        <v>48712.842776949758</v>
      </c>
      <c r="N310" s="12">
        <f>MAX((Inputs!G$25*POWER(1+(Inputs!$C$3-(Inputs!$C$3*(('Steady State'!$A310-1)/Inputs!$C$4))),'Steady State'!$A310-1)),N309)</f>
        <v>20876.932618692754</v>
      </c>
      <c r="O310" s="12">
        <v>0</v>
      </c>
      <c r="P310" s="12">
        <v>0</v>
      </c>
    </row>
    <row r="311" spans="1:16" x14ac:dyDescent="0.35">
      <c r="A311">
        <v>309</v>
      </c>
      <c r="C311" s="14">
        <f t="shared" si="17"/>
        <v>1036320.345591289</v>
      </c>
      <c r="D311" s="14">
        <f t="shared" si="18"/>
        <v>877108.85913537606</v>
      </c>
      <c r="E311" s="14">
        <f t="shared" si="19"/>
        <v>47820.237755525537</v>
      </c>
      <c r="F311" s="14">
        <f t="shared" si="16"/>
        <v>69349.307477906201</v>
      </c>
      <c r="H311" s="14" cm="1">
        <f t="array" ref="H311:K311">MMULT($C310:$F310,P_Matrix)</f>
        <v>987607.50281433924</v>
      </c>
      <c r="I311" s="14">
        <v>856231.92651668331</v>
      </c>
      <c r="J311" s="14">
        <v>47820.237755525537</v>
      </c>
      <c r="K311" s="14">
        <v>138689.66575134252</v>
      </c>
      <c r="M311" s="12">
        <f>MAX((Inputs!F$25*POWER(1+(Inputs!$C$3-(Inputs!$C$3*(('Steady State'!$A311-1)/Inputs!$C$4))),'Steady State'!$A311-1)),M310)</f>
        <v>48712.842776949758</v>
      </c>
      <c r="N311" s="12">
        <f>MAX((Inputs!G$25*POWER(1+(Inputs!$C$3-(Inputs!$C$3*(('Steady State'!$A311-1)/Inputs!$C$4))),'Steady State'!$A311-1)),N310)</f>
        <v>20876.932618692754</v>
      </c>
      <c r="O311" s="12">
        <v>0</v>
      </c>
      <c r="P311" s="12">
        <v>0</v>
      </c>
    </row>
    <row r="312" spans="1:16" x14ac:dyDescent="0.35">
      <c r="A312">
        <v>310</v>
      </c>
      <c r="C312" s="14">
        <f t="shared" si="17"/>
        <v>1036407.0799996676</v>
      </c>
      <c r="D312" s="14">
        <f t="shared" si="18"/>
        <v>877247.76759690209</v>
      </c>
      <c r="E312" s="14">
        <f t="shared" si="19"/>
        <v>47826.434700581973</v>
      </c>
      <c r="F312" s="14">
        <f t="shared" si="16"/>
        <v>69357.93558068134</v>
      </c>
      <c r="H312" s="14" cm="1">
        <f t="array" ref="H312:K312">MMULT($C311:$F311,P_Matrix)</f>
        <v>987694.23722271784</v>
      </c>
      <c r="I312" s="14">
        <v>856370.83497820934</v>
      </c>
      <c r="J312" s="14">
        <v>47826.434700581973</v>
      </c>
      <c r="K312" s="14">
        <v>138707.24305858754</v>
      </c>
      <c r="M312" s="12">
        <f>MAX((Inputs!F$25*POWER(1+(Inputs!$C$3-(Inputs!$C$3*(('Steady State'!$A312-1)/Inputs!$C$4))),'Steady State'!$A312-1)),M311)</f>
        <v>48712.842776949758</v>
      </c>
      <c r="N312" s="12">
        <f>MAX((Inputs!G$25*POWER(1+(Inputs!$C$3-(Inputs!$C$3*(('Steady State'!$A312-1)/Inputs!$C$4))),'Steady State'!$A312-1)),N311)</f>
        <v>20876.932618692754</v>
      </c>
      <c r="O312" s="12">
        <v>0</v>
      </c>
      <c r="P312" s="12">
        <v>0</v>
      </c>
    </row>
    <row r="313" spans="1:16" x14ac:dyDescent="0.35">
      <c r="A313">
        <v>311</v>
      </c>
      <c r="C313" s="14">
        <f t="shared" si="17"/>
        <v>1036490.6191226644</v>
      </c>
      <c r="D313" s="14">
        <f t="shared" si="18"/>
        <v>877381.7751707721</v>
      </c>
      <c r="E313" s="14">
        <f t="shared" si="19"/>
        <v>47832.40929631488</v>
      </c>
      <c r="F313" s="14">
        <f t="shared" si="16"/>
        <v>69366.254103042564</v>
      </c>
      <c r="H313" s="14" cm="1">
        <f t="array" ref="H313:K313">MMULT($C312:$F312,P_Matrix)</f>
        <v>987777.77634571469</v>
      </c>
      <c r="I313" s="14">
        <v>856504.84255207935</v>
      </c>
      <c r="J313" s="14">
        <v>47832.40929631488</v>
      </c>
      <c r="K313" s="14">
        <v>138724.1896837239</v>
      </c>
      <c r="M313" s="12">
        <f>MAX((Inputs!F$25*POWER(1+(Inputs!$C$3-(Inputs!$C$3*(('Steady State'!$A313-1)/Inputs!$C$4))),'Steady State'!$A313-1)),M312)</f>
        <v>48712.842776949758</v>
      </c>
      <c r="N313" s="12">
        <f>MAX((Inputs!G$25*POWER(1+(Inputs!$C$3-(Inputs!$C$3*(('Steady State'!$A313-1)/Inputs!$C$4))),'Steady State'!$A313-1)),N312)</f>
        <v>20876.932618692754</v>
      </c>
      <c r="O313" s="12">
        <v>0</v>
      </c>
      <c r="P313" s="12">
        <v>0</v>
      </c>
    </row>
    <row r="314" spans="1:16" x14ac:dyDescent="0.35">
      <c r="A314">
        <v>312</v>
      </c>
      <c r="C314" s="14">
        <f t="shared" si="17"/>
        <v>1036571.0834335935</v>
      </c>
      <c r="D314" s="14">
        <f t="shared" si="18"/>
        <v>877511.05187819526</v>
      </c>
      <c r="E314" s="14">
        <f t="shared" si="19"/>
        <v>47838.169520723299</v>
      </c>
      <c r="F314" s="14">
        <f t="shared" si="16"/>
        <v>69374.274152881815</v>
      </c>
      <c r="H314" s="14" cm="1">
        <f t="array" ref="H314:K314">MMULT($C313:$F313,P_Matrix)</f>
        <v>987858.24065664376</v>
      </c>
      <c r="I314" s="14">
        <v>856634.11925950251</v>
      </c>
      <c r="J314" s="14">
        <v>47838.169520723299</v>
      </c>
      <c r="K314" s="14">
        <v>138740.52825592438</v>
      </c>
      <c r="M314" s="12">
        <f>MAX((Inputs!F$25*POWER(1+(Inputs!$C$3-(Inputs!$C$3*(('Steady State'!$A314-1)/Inputs!$C$4))),'Steady State'!$A314-1)),M313)</f>
        <v>48712.842776949758</v>
      </c>
      <c r="N314" s="12">
        <f>MAX((Inputs!G$25*POWER(1+(Inputs!$C$3-(Inputs!$C$3*(('Steady State'!$A314-1)/Inputs!$C$4))),'Steady State'!$A314-1)),N313)</f>
        <v>20876.932618692754</v>
      </c>
      <c r="O314" s="12">
        <v>0</v>
      </c>
      <c r="P314" s="12">
        <v>0</v>
      </c>
    </row>
    <row r="315" spans="1:16" x14ac:dyDescent="0.35">
      <c r="A315">
        <v>313</v>
      </c>
      <c r="C315" s="14">
        <f t="shared" si="17"/>
        <v>1036648.5886753818</v>
      </c>
      <c r="D315" s="14">
        <f t="shared" si="18"/>
        <v>877635.76204768626</v>
      </c>
      <c r="E315" s="14">
        <f t="shared" si="19"/>
        <v>47843.723065551865</v>
      </c>
      <c r="F315" s="14">
        <f t="shared" si="16"/>
        <v>69382.006439534482</v>
      </c>
      <c r="H315" s="14" cm="1">
        <f t="array" ref="H315:K315">MMULT($C314:$F314,P_Matrix)</f>
        <v>987935.7458984321</v>
      </c>
      <c r="I315" s="14">
        <v>856758.82942899351</v>
      </c>
      <c r="J315" s="14">
        <v>47843.723065551865</v>
      </c>
      <c r="K315" s="14">
        <v>138756.2805924163</v>
      </c>
      <c r="M315" s="12">
        <f>MAX((Inputs!F$25*POWER(1+(Inputs!$C$3-(Inputs!$C$3*(('Steady State'!$A315-1)/Inputs!$C$4))),'Steady State'!$A315-1)),M314)</f>
        <v>48712.842776949758</v>
      </c>
      <c r="N315" s="12">
        <f>MAX((Inputs!G$25*POWER(1+(Inputs!$C$3-(Inputs!$C$3*(('Steady State'!$A315-1)/Inputs!$C$4))),'Steady State'!$A315-1)),N314)</f>
        <v>20876.932618692754</v>
      </c>
      <c r="O315" s="12">
        <v>0</v>
      </c>
      <c r="P315" s="12">
        <v>0</v>
      </c>
    </row>
    <row r="316" spans="1:16" x14ac:dyDescent="0.35">
      <c r="A316">
        <v>314</v>
      </c>
      <c r="C316" s="14">
        <f t="shared" si="17"/>
        <v>1036723.2460588407</v>
      </c>
      <c r="D316" s="14">
        <f t="shared" si="18"/>
        <v>877756.06449078</v>
      </c>
      <c r="E316" s="14">
        <f t="shared" si="19"/>
        <v>47849.077346561797</v>
      </c>
      <c r="F316" s="14">
        <f t="shared" si="16"/>
        <v>69389.461288079998</v>
      </c>
      <c r="H316" s="14" cm="1">
        <f t="array" ref="H316:K316">MMULT($C315:$F315,P_Matrix)</f>
        <v>988010.4032818909</v>
      </c>
      <c r="I316" s="14">
        <v>856879.13187208725</v>
      </c>
      <c r="J316" s="14">
        <v>47849.077346561797</v>
      </c>
      <c r="K316" s="14">
        <v>138771.46772761448</v>
      </c>
      <c r="M316" s="12">
        <f>MAX((Inputs!F$25*POWER(1+(Inputs!$C$3-(Inputs!$C$3*(('Steady State'!$A316-1)/Inputs!$C$4))),'Steady State'!$A316-1)),M315)</f>
        <v>48712.842776949758</v>
      </c>
      <c r="N316" s="12">
        <f>MAX((Inputs!G$25*POWER(1+(Inputs!$C$3-(Inputs!$C$3*(('Steady State'!$A316-1)/Inputs!$C$4))),'Steady State'!$A316-1)),N315)</f>
        <v>20876.932618692754</v>
      </c>
      <c r="O316" s="12">
        <v>0</v>
      </c>
      <c r="P316" s="12">
        <v>0</v>
      </c>
    </row>
    <row r="317" spans="1:16" x14ac:dyDescent="0.35">
      <c r="A317">
        <v>315</v>
      </c>
      <c r="C317" s="14">
        <f t="shared" si="17"/>
        <v>1036795.1624518238</v>
      </c>
      <c r="D317" s="14">
        <f t="shared" si="18"/>
        <v>877872.11267343862</v>
      </c>
      <c r="E317" s="14">
        <f t="shared" si="19"/>
        <v>47854.239513433284</v>
      </c>
      <c r="F317" s="14">
        <f t="shared" si="16"/>
        <v>69396.648653129057</v>
      </c>
      <c r="H317" s="14" cm="1">
        <f t="array" ref="H317:K317">MMULT($C316:$F316,P_Matrix)</f>
        <v>988082.31967487407</v>
      </c>
      <c r="I317" s="14">
        <v>856995.18005474587</v>
      </c>
      <c r="J317" s="14">
        <v>47854.239513433284</v>
      </c>
      <c r="K317" s="14">
        <v>138786.10994120906</v>
      </c>
      <c r="M317" s="12">
        <f>MAX((Inputs!F$25*POWER(1+(Inputs!$C$3-(Inputs!$C$3*(('Steady State'!$A317-1)/Inputs!$C$4))),'Steady State'!$A317-1)),M316)</f>
        <v>48712.842776949758</v>
      </c>
      <c r="N317" s="12">
        <f>MAX((Inputs!G$25*POWER(1+(Inputs!$C$3-(Inputs!$C$3*(('Steady State'!$A317-1)/Inputs!$C$4))),'Steady State'!$A317-1)),N316)</f>
        <v>20876.932618692754</v>
      </c>
      <c r="O317" s="12">
        <v>0</v>
      </c>
      <c r="P317" s="12">
        <v>0</v>
      </c>
    </row>
    <row r="318" spans="1:16" x14ac:dyDescent="0.35">
      <c r="A318">
        <v>316</v>
      </c>
      <c r="C318" s="14">
        <f t="shared" si="17"/>
        <v>1036864.4405597418</v>
      </c>
      <c r="D318" s="14">
        <f t="shared" si="18"/>
        <v>877984.05488316761</v>
      </c>
      <c r="E318" s="14">
        <f t="shared" si="19"/>
        <v>47859.216459312593</v>
      </c>
      <c r="F318" s="14">
        <f t="shared" si="16"/>
        <v>69403.578132116178</v>
      </c>
      <c r="H318" s="14" cm="1">
        <f t="array" ref="H318:K318">MMULT($C317:$F317,P_Matrix)</f>
        <v>988151.59778279206</v>
      </c>
      <c r="I318" s="14">
        <v>857107.12226447486</v>
      </c>
      <c r="J318" s="14">
        <v>47859.216459312593</v>
      </c>
      <c r="K318" s="14">
        <v>138800.22678524524</v>
      </c>
      <c r="M318" s="12">
        <f>MAX((Inputs!F$25*POWER(1+(Inputs!$C$3-(Inputs!$C$3*(('Steady State'!$A318-1)/Inputs!$C$4))),'Steady State'!$A318-1)),M317)</f>
        <v>48712.842776949758</v>
      </c>
      <c r="N318" s="12">
        <f>MAX((Inputs!G$25*POWER(1+(Inputs!$C$3-(Inputs!$C$3*(('Steady State'!$A318-1)/Inputs!$C$4))),'Steady State'!$A318-1)),N317)</f>
        <v>20876.932618692754</v>
      </c>
      <c r="O318" s="12">
        <v>0</v>
      </c>
      <c r="P318" s="12">
        <v>0</v>
      </c>
    </row>
    <row r="319" spans="1:16" x14ac:dyDescent="0.35">
      <c r="A319">
        <v>317</v>
      </c>
      <c r="C319" s="14">
        <f t="shared" si="17"/>
        <v>1036931.1790978699</v>
      </c>
      <c r="D319" s="14">
        <f t="shared" si="18"/>
        <v>878092.03439186234</v>
      </c>
      <c r="E319" s="14">
        <f t="shared" si="19"/>
        <v>47864.014830016647</v>
      </c>
      <c r="F319" s="14">
        <f t="shared" si="16"/>
        <v>69410.258978115424</v>
      </c>
      <c r="H319" s="14" cm="1">
        <f t="array" ref="H319:K319">MMULT($C318:$F318,P_Matrix)</f>
        <v>988218.33632092015</v>
      </c>
      <c r="I319" s="14">
        <v>857215.10177316959</v>
      </c>
      <c r="J319" s="14">
        <v>47864.014830016647</v>
      </c>
      <c r="K319" s="14">
        <v>138813.8371102316</v>
      </c>
      <c r="M319" s="12">
        <f>MAX((Inputs!F$25*POWER(1+(Inputs!$C$3-(Inputs!$C$3*(('Steady State'!$A319-1)/Inputs!$C$4))),'Steady State'!$A319-1)),M318)</f>
        <v>48712.842776949758</v>
      </c>
      <c r="N319" s="12">
        <f>MAX((Inputs!G$25*POWER(1+(Inputs!$C$3-(Inputs!$C$3*(('Steady State'!$A319-1)/Inputs!$C$4))),'Steady State'!$A319-1)),N318)</f>
        <v>20876.932618692754</v>
      </c>
      <c r="O319" s="12">
        <v>0</v>
      </c>
      <c r="P319" s="12">
        <v>0</v>
      </c>
    </row>
    <row r="320" spans="1:16" x14ac:dyDescent="0.35">
      <c r="A320">
        <v>318</v>
      </c>
      <c r="C320" s="14">
        <f t="shared" si="17"/>
        <v>1036995.4729558676</v>
      </c>
      <c r="D320" s="14">
        <f t="shared" si="18"/>
        <v>878196.18961442017</v>
      </c>
      <c r="E320" s="14">
        <f t="shared" si="19"/>
        <v>47868.641032907311</v>
      </c>
      <c r="F320" s="14">
        <f t="shared" si="16"/>
        <v>69416.700112196122</v>
      </c>
      <c r="H320" s="14" cm="1">
        <f t="array" ref="H320:K320">MMULT($C319:$F319,P_Matrix)</f>
        <v>988282.6301789179</v>
      </c>
      <c r="I320" s="14">
        <v>857319.25699572742</v>
      </c>
      <c r="J320" s="14">
        <v>47868.641032907311</v>
      </c>
      <c r="K320" s="14">
        <v>138826.95909031155</v>
      </c>
      <c r="M320" s="12">
        <f>MAX((Inputs!F$25*POWER(1+(Inputs!$C$3-(Inputs!$C$3*(('Steady State'!$A320-1)/Inputs!$C$4))),'Steady State'!$A320-1)),M319)</f>
        <v>48712.842776949758</v>
      </c>
      <c r="N320" s="12">
        <f>MAX((Inputs!G$25*POWER(1+(Inputs!$C$3-(Inputs!$C$3*(('Steady State'!$A320-1)/Inputs!$C$4))),'Steady State'!$A320-1)),N319)</f>
        <v>20876.932618692754</v>
      </c>
      <c r="O320" s="12">
        <v>0</v>
      </c>
      <c r="P320" s="12">
        <v>0</v>
      </c>
    </row>
    <row r="321" spans="1:16" x14ac:dyDescent="0.35">
      <c r="A321">
        <v>319</v>
      </c>
      <c r="C321" s="14">
        <f t="shared" si="17"/>
        <v>1037057.4133549002</v>
      </c>
      <c r="D321" s="14">
        <f t="shared" si="18"/>
        <v>878296.6542631546</v>
      </c>
      <c r="E321" s="14">
        <f t="shared" si="19"/>
        <v>47873.101245447266</v>
      </c>
      <c r="F321" s="14">
        <f t="shared" si="16"/>
        <v>69422.910135335464</v>
      </c>
      <c r="H321" s="14" cm="1">
        <f t="array" ref="H321:K321">MMULT($C320:$F320,P_Matrix)</f>
        <v>988344.57057795045</v>
      </c>
      <c r="I321" s="14">
        <v>857419.72164446185</v>
      </c>
      <c r="J321" s="14">
        <v>47873.101245447266</v>
      </c>
      <c r="K321" s="14">
        <v>138839.61024753159</v>
      </c>
      <c r="M321" s="12">
        <f>MAX((Inputs!F$25*POWER(1+(Inputs!$C$3-(Inputs!$C$3*(('Steady State'!$A321-1)/Inputs!$C$4))),'Steady State'!$A321-1)),M320)</f>
        <v>48712.842776949758</v>
      </c>
      <c r="N321" s="12">
        <f>MAX((Inputs!G$25*POWER(1+(Inputs!$C$3-(Inputs!$C$3*(('Steady State'!$A321-1)/Inputs!$C$4))),'Steady State'!$A321-1)),N320)</f>
        <v>20876.932618692754</v>
      </c>
      <c r="O321" s="12">
        <v>0</v>
      </c>
      <c r="P321" s="12">
        <v>0</v>
      </c>
    </row>
    <row r="322" spans="1:16" x14ac:dyDescent="0.35">
      <c r="A322">
        <v>320</v>
      </c>
      <c r="C322" s="14">
        <f t="shared" si="17"/>
        <v>1037117.0879977322</v>
      </c>
      <c r="D322" s="14">
        <f t="shared" si="18"/>
        <v>878393.55749805993</v>
      </c>
      <c r="E322" s="14">
        <f t="shared" si="19"/>
        <v>47877.401423448908</v>
      </c>
      <c r="F322" s="14">
        <f t="shared" si="16"/>
        <v>69428.897339903458</v>
      </c>
      <c r="H322" s="14" cm="1">
        <f t="array" ref="H322:K322">MMULT($C321:$F321,P_Matrix)</f>
        <v>988404.24522078247</v>
      </c>
      <c r="I322" s="14">
        <v>857516.62487936718</v>
      </c>
      <c r="J322" s="14">
        <v>47877.401423448908</v>
      </c>
      <c r="K322" s="14">
        <v>138851.80747523892</v>
      </c>
      <c r="M322" s="12">
        <f>MAX((Inputs!F$25*POWER(1+(Inputs!$C$3-(Inputs!$C$3*(('Steady State'!$A322-1)/Inputs!$C$4))),'Steady State'!$A322-1)),M321)</f>
        <v>48712.842776949758</v>
      </c>
      <c r="N322" s="12">
        <f>MAX((Inputs!G$25*POWER(1+(Inputs!$C$3-(Inputs!$C$3*(('Steady State'!$A322-1)/Inputs!$C$4))),'Steady State'!$A322-1)),N321)</f>
        <v>20876.932618692754</v>
      </c>
      <c r="O322" s="12">
        <v>0</v>
      </c>
      <c r="P322" s="12">
        <v>0</v>
      </c>
    </row>
    <row r="323" spans="1:16" x14ac:dyDescent="0.35">
      <c r="A323">
        <v>321</v>
      </c>
      <c r="C323" s="14">
        <f t="shared" si="17"/>
        <v>1037174.5812121434</v>
      </c>
      <c r="D323" s="14">
        <f t="shared" si="18"/>
        <v>878487.02407297678</v>
      </c>
      <c r="E323" s="14">
        <f t="shared" si="19"/>
        <v>47881.547309027272</v>
      </c>
      <c r="F323" s="14">
        <f t="shared" ref="F323:F386" si="20">(K323+P323)-F322</f>
        <v>69434.669720735983</v>
      </c>
      <c r="H323" s="14" cm="1">
        <f t="array" ref="H323:K323">MMULT($C322:$F322,P_Matrix)</f>
        <v>988461.73843519366</v>
      </c>
      <c r="I323" s="14">
        <v>857610.09145428403</v>
      </c>
      <c r="J323" s="14">
        <v>47881.547309027272</v>
      </c>
      <c r="K323" s="14">
        <v>138863.56706063944</v>
      </c>
      <c r="M323" s="12">
        <f>MAX((Inputs!F$25*POWER(1+(Inputs!$C$3-(Inputs!$C$3*(('Steady State'!$A323-1)/Inputs!$C$4))),'Steady State'!$A323-1)),M322)</f>
        <v>48712.842776949758</v>
      </c>
      <c r="N323" s="12">
        <f>MAX((Inputs!G$25*POWER(1+(Inputs!$C$3-(Inputs!$C$3*(('Steady State'!$A323-1)/Inputs!$C$4))),'Steady State'!$A323-1)),N322)</f>
        <v>20876.932618692754</v>
      </c>
      <c r="O323" s="12">
        <v>0</v>
      </c>
      <c r="P323" s="12">
        <v>0</v>
      </c>
    </row>
    <row r="324" spans="1:16" x14ac:dyDescent="0.35">
      <c r="A324">
        <v>322</v>
      </c>
      <c r="C324" s="14">
        <f t="shared" ref="C324:C387" si="21">H324+M324</f>
        <v>1037229.974087997</v>
      </c>
      <c r="D324" s="14">
        <f t="shared" ref="D324:D387" si="22">I324+N324</f>
        <v>878577.17447771493</v>
      </c>
      <c r="E324" s="14">
        <f t="shared" ref="E324:E387" si="23">J324+O324</f>
        <v>47885.544438267563</v>
      </c>
      <c r="F324" s="14">
        <f t="shared" si="20"/>
        <v>69440.234985810413</v>
      </c>
      <c r="H324" s="14" cm="1">
        <f t="array" ref="H324:K324">MMULT($C323:$F323,P_Matrix)</f>
        <v>988517.13131104724</v>
      </c>
      <c r="I324" s="14">
        <v>857700.24185902218</v>
      </c>
      <c r="J324" s="14">
        <v>47885.544438267563</v>
      </c>
      <c r="K324" s="14">
        <v>138874.9047065464</v>
      </c>
      <c r="M324" s="12">
        <f>MAX((Inputs!F$25*POWER(1+(Inputs!$C$3-(Inputs!$C$3*(('Steady State'!$A324-1)/Inputs!$C$4))),'Steady State'!$A324-1)),M323)</f>
        <v>48712.842776949758</v>
      </c>
      <c r="N324" s="12">
        <f>MAX((Inputs!G$25*POWER(1+(Inputs!$C$3-(Inputs!$C$3*(('Steady State'!$A324-1)/Inputs!$C$4))),'Steady State'!$A324-1)),N323)</f>
        <v>20876.932618692754</v>
      </c>
      <c r="O324" s="12">
        <v>0</v>
      </c>
      <c r="P324" s="12">
        <v>0</v>
      </c>
    </row>
    <row r="325" spans="1:16" x14ac:dyDescent="0.35">
      <c r="A325">
        <v>323</v>
      </c>
      <c r="C325" s="14">
        <f t="shared" si="21"/>
        <v>1037283.3446082708</v>
      </c>
      <c r="D325" s="14">
        <f t="shared" si="22"/>
        <v>878664.12507619523</v>
      </c>
      <c r="E325" s="14">
        <f t="shared" si="23"/>
        <v>47889.398148617664</v>
      </c>
      <c r="F325" s="14">
        <f t="shared" si="20"/>
        <v>69445.600566538254</v>
      </c>
      <c r="H325" s="14" cm="1">
        <f t="array" ref="H325:K325">MMULT($C324:$F324,P_Matrix)</f>
        <v>988570.50183132105</v>
      </c>
      <c r="I325" s="14">
        <v>857787.19245750248</v>
      </c>
      <c r="J325" s="14">
        <v>47889.398148617664</v>
      </c>
      <c r="K325" s="14">
        <v>138885.83555234867</v>
      </c>
      <c r="M325" s="12">
        <f>MAX((Inputs!F$25*POWER(1+(Inputs!$C$3-(Inputs!$C$3*(('Steady State'!$A325-1)/Inputs!$C$4))),'Steady State'!$A325-1)),M324)</f>
        <v>48712.842776949758</v>
      </c>
      <c r="N325" s="12">
        <f>MAX((Inputs!G$25*POWER(1+(Inputs!$C$3-(Inputs!$C$3*(('Steady State'!$A325-1)/Inputs!$C$4))),'Steady State'!$A325-1)),N324)</f>
        <v>20876.932618692754</v>
      </c>
      <c r="O325" s="12">
        <v>0</v>
      </c>
      <c r="P325" s="12">
        <v>0</v>
      </c>
    </row>
    <row r="326" spans="1:16" x14ac:dyDescent="0.35">
      <c r="A326">
        <v>324</v>
      </c>
      <c r="C326" s="14">
        <f t="shared" si="21"/>
        <v>1037334.7677743479</v>
      </c>
      <c r="D326" s="14">
        <f t="shared" si="22"/>
        <v>878747.98824067449</v>
      </c>
      <c r="E326" s="14">
        <f t="shared" si="23"/>
        <v>47893.113586015257</v>
      </c>
      <c r="F326" s="14">
        <f t="shared" si="20"/>
        <v>69450.773627688381</v>
      </c>
      <c r="H326" s="14" cm="1">
        <f t="array" ref="H326:K326">MMULT($C325:$F325,P_Matrix)</f>
        <v>988621.92499739816</v>
      </c>
      <c r="I326" s="14">
        <v>857871.05562198174</v>
      </c>
      <c r="J326" s="14">
        <v>47893.113586015257</v>
      </c>
      <c r="K326" s="14">
        <v>138896.37419422664</v>
      </c>
      <c r="M326" s="12">
        <f>MAX((Inputs!F$25*POWER(1+(Inputs!$C$3-(Inputs!$C$3*(('Steady State'!$A326-1)/Inputs!$C$4))),'Steady State'!$A326-1)),M325)</f>
        <v>48712.842776949758</v>
      </c>
      <c r="N326" s="12">
        <f>MAX((Inputs!G$25*POWER(1+(Inputs!$C$3-(Inputs!$C$3*(('Steady State'!$A326-1)/Inputs!$C$4))),'Steady State'!$A326-1)),N325)</f>
        <v>20876.932618692754</v>
      </c>
      <c r="O326" s="12">
        <v>0</v>
      </c>
      <c r="P326" s="12">
        <v>0</v>
      </c>
    </row>
    <row r="327" spans="1:16" x14ac:dyDescent="0.35">
      <c r="A327">
        <v>325</v>
      </c>
      <c r="C327" s="14">
        <f t="shared" si="21"/>
        <v>1037384.3157258451</v>
      </c>
      <c r="D327" s="14">
        <f t="shared" si="22"/>
        <v>878828.87248212122</v>
      </c>
      <c r="E327" s="14">
        <f t="shared" si="23"/>
        <v>47896.695711759377</v>
      </c>
      <c r="F327" s="14">
        <f t="shared" si="20"/>
        <v>69455.761076954484</v>
      </c>
      <c r="H327" s="14" cm="1">
        <f t="array" ref="H327:K327">MMULT($C326:$F326,P_Matrix)</f>
        <v>988671.4729488953</v>
      </c>
      <c r="I327" s="14">
        <v>857951.93986342847</v>
      </c>
      <c r="J327" s="14">
        <v>47896.695711759377</v>
      </c>
      <c r="K327" s="14">
        <v>138906.53470464287</v>
      </c>
      <c r="M327" s="12">
        <f>MAX((Inputs!F$25*POWER(1+(Inputs!$C$3-(Inputs!$C$3*(('Steady State'!$A327-1)/Inputs!$C$4))),'Steady State'!$A327-1)),M326)</f>
        <v>48712.842776949758</v>
      </c>
      <c r="N327" s="12">
        <f>MAX((Inputs!G$25*POWER(1+(Inputs!$C$3-(Inputs!$C$3*(('Steady State'!$A327-1)/Inputs!$C$4))),'Steady State'!$A327-1)),N326)</f>
        <v>20876.932618692754</v>
      </c>
      <c r="O327" s="12">
        <v>0</v>
      </c>
      <c r="P327" s="12">
        <v>0</v>
      </c>
    </row>
    <row r="328" spans="1:16" x14ac:dyDescent="0.35">
      <c r="A328">
        <v>326</v>
      </c>
      <c r="C328" s="14">
        <f t="shared" si="21"/>
        <v>1037432.0578552411</v>
      </c>
      <c r="D328" s="14">
        <f t="shared" si="22"/>
        <v>878906.88257681276</v>
      </c>
      <c r="E328" s="14">
        <f t="shared" si="23"/>
        <v>47900.14930913529</v>
      </c>
      <c r="F328" s="14">
        <f t="shared" si="20"/>
        <v>69460.569574178837</v>
      </c>
      <c r="H328" s="14" cm="1">
        <f t="array" ref="H328:K328">MMULT($C327:$F327,P_Matrix)</f>
        <v>988719.21507829137</v>
      </c>
      <c r="I328" s="14">
        <v>858029.94995812001</v>
      </c>
      <c r="J328" s="14">
        <v>47900.14930913529</v>
      </c>
      <c r="K328" s="14">
        <v>138916.33065113332</v>
      </c>
      <c r="M328" s="12">
        <f>MAX((Inputs!F$25*POWER(1+(Inputs!$C$3-(Inputs!$C$3*(('Steady State'!$A328-1)/Inputs!$C$4))),'Steady State'!$A328-1)),M327)</f>
        <v>48712.842776949758</v>
      </c>
      <c r="N328" s="12">
        <f>MAX((Inputs!G$25*POWER(1+(Inputs!$C$3-(Inputs!$C$3*(('Steady State'!$A328-1)/Inputs!$C$4))),'Steady State'!$A328-1)),N327)</f>
        <v>20876.932618692754</v>
      </c>
      <c r="O328" s="12">
        <v>0</v>
      </c>
      <c r="P328" s="12">
        <v>0</v>
      </c>
    </row>
    <row r="329" spans="1:16" x14ac:dyDescent="0.35">
      <c r="A329">
        <v>327</v>
      </c>
      <c r="C329" s="14">
        <f t="shared" si="21"/>
        <v>1037478.060917558</v>
      </c>
      <c r="D329" s="14">
        <f t="shared" si="22"/>
        <v>878982.11968922638</v>
      </c>
      <c r="E329" s="14">
        <f t="shared" si="23"/>
        <v>47903.478989801712</v>
      </c>
      <c r="F329" s="14">
        <f t="shared" si="20"/>
        <v>69465.205540245428</v>
      </c>
      <c r="H329" s="14" cm="1">
        <f t="array" ref="H329:K329">MMULT($C328:$F328,P_Matrix)</f>
        <v>988765.21814060828</v>
      </c>
      <c r="I329" s="14">
        <v>858105.18707053363</v>
      </c>
      <c r="J329" s="14">
        <v>47903.478989801712</v>
      </c>
      <c r="K329" s="14">
        <v>138925.77511442426</v>
      </c>
      <c r="M329" s="12">
        <f>MAX((Inputs!F$25*POWER(1+(Inputs!$C$3-(Inputs!$C$3*(('Steady State'!$A329-1)/Inputs!$C$4))),'Steady State'!$A329-1)),M328)</f>
        <v>48712.842776949758</v>
      </c>
      <c r="N329" s="12">
        <f>MAX((Inputs!G$25*POWER(1+(Inputs!$C$3-(Inputs!$C$3*(('Steady State'!$A329-1)/Inputs!$C$4))),'Steady State'!$A329-1)),N328)</f>
        <v>20876.932618692754</v>
      </c>
      <c r="O329" s="12">
        <v>0</v>
      </c>
      <c r="P329" s="12">
        <v>0</v>
      </c>
    </row>
    <row r="330" spans="1:16" x14ac:dyDescent="0.35">
      <c r="A330">
        <v>328</v>
      </c>
      <c r="C330" s="14">
        <f t="shared" si="21"/>
        <v>1037522.3891353267</v>
      </c>
      <c r="D330" s="14">
        <f t="shared" si="22"/>
        <v>879054.68149129895</v>
      </c>
      <c r="E330" s="14">
        <f t="shared" si="23"/>
        <v>47906.689199948873</v>
      </c>
      <c r="F330" s="14">
        <f t="shared" si="20"/>
        <v>69469.675165653956</v>
      </c>
      <c r="H330" s="14" cm="1">
        <f t="array" ref="H330:K330">MMULT($C329:$F329,P_Matrix)</f>
        <v>988809.54635837697</v>
      </c>
      <c r="I330" s="14">
        <v>858177.7488726062</v>
      </c>
      <c r="J330" s="14">
        <v>47906.689199948873</v>
      </c>
      <c r="K330" s="14">
        <v>138934.88070589938</v>
      </c>
      <c r="M330" s="12">
        <f>MAX((Inputs!F$25*POWER(1+(Inputs!$C$3-(Inputs!$C$3*(('Steady State'!$A330-1)/Inputs!$C$4))),'Steady State'!$A330-1)),M329)</f>
        <v>48712.842776949758</v>
      </c>
      <c r="N330" s="12">
        <f>MAX((Inputs!G$25*POWER(1+(Inputs!$C$3-(Inputs!$C$3*(('Steady State'!$A330-1)/Inputs!$C$4))),'Steady State'!$A330-1)),N329)</f>
        <v>20876.932618692754</v>
      </c>
      <c r="O330" s="12">
        <v>0</v>
      </c>
      <c r="P330" s="12">
        <v>0</v>
      </c>
    </row>
    <row r="331" spans="1:16" x14ac:dyDescent="0.35">
      <c r="A331">
        <v>329</v>
      </c>
      <c r="C331" s="14">
        <f t="shared" si="21"/>
        <v>1037565.1042990647</v>
      </c>
      <c r="D331" s="14">
        <f t="shared" si="22"/>
        <v>879124.66227813077</v>
      </c>
      <c r="E331" s="14">
        <f t="shared" si="23"/>
        <v>47909.784226235584</v>
      </c>
      <c r="F331" s="14">
        <f t="shared" si="20"/>
        <v>69473.984418785985</v>
      </c>
      <c r="H331" s="14" cm="1">
        <f t="array" ref="H331:K331">MMULT($C330:$F330,P_Matrix)</f>
        <v>988852.26152211498</v>
      </c>
      <c r="I331" s="14">
        <v>858247.72965943802</v>
      </c>
      <c r="J331" s="14">
        <v>47909.784226235584</v>
      </c>
      <c r="K331" s="14">
        <v>138943.65958443994</v>
      </c>
      <c r="M331" s="12">
        <f>MAX((Inputs!F$25*POWER(1+(Inputs!$C$3-(Inputs!$C$3*(('Steady State'!$A331-1)/Inputs!$C$4))),'Steady State'!$A331-1)),M330)</f>
        <v>48712.842776949758</v>
      </c>
      <c r="N331" s="12">
        <f>MAX((Inputs!G$25*POWER(1+(Inputs!$C$3-(Inputs!$C$3*(('Steady State'!$A331-1)/Inputs!$C$4))),'Steady State'!$A331-1)),N330)</f>
        <v>20876.932618692754</v>
      </c>
      <c r="O331" s="12">
        <v>0</v>
      </c>
      <c r="P331" s="12">
        <v>0</v>
      </c>
    </row>
    <row r="332" spans="1:16" x14ac:dyDescent="0.35">
      <c r="A332">
        <v>330</v>
      </c>
      <c r="C332" s="14">
        <f t="shared" si="21"/>
        <v>1037606.2658634754</v>
      </c>
      <c r="D332" s="14">
        <f t="shared" si="22"/>
        <v>879192.15308020997</v>
      </c>
      <c r="E332" s="14">
        <f t="shared" si="23"/>
        <v>47912.768201513303</v>
      </c>
      <c r="F332" s="14">
        <f t="shared" si="20"/>
        <v>69478.139053874766</v>
      </c>
      <c r="H332" s="14" cm="1">
        <f t="array" ref="H332:K332">MMULT($C331:$F331,P_Matrix)</f>
        <v>988893.42308652564</v>
      </c>
      <c r="I332" s="14">
        <v>858315.22046151722</v>
      </c>
      <c r="J332" s="14">
        <v>47912.768201513303</v>
      </c>
      <c r="K332" s="14">
        <v>138952.12347266075</v>
      </c>
      <c r="M332" s="12">
        <f>MAX((Inputs!F$25*POWER(1+(Inputs!$C$3-(Inputs!$C$3*(('Steady State'!$A332-1)/Inputs!$C$4))),'Steady State'!$A332-1)),M331)</f>
        <v>48712.842776949758</v>
      </c>
      <c r="N332" s="12">
        <f>MAX((Inputs!G$25*POWER(1+(Inputs!$C$3-(Inputs!$C$3*(('Steady State'!$A332-1)/Inputs!$C$4))),'Steady State'!$A332-1)),N331)</f>
        <v>20876.932618692754</v>
      </c>
      <c r="O332" s="12">
        <v>0</v>
      </c>
      <c r="P332" s="12">
        <v>0</v>
      </c>
    </row>
    <row r="333" spans="1:16" x14ac:dyDescent="0.35">
      <c r="A333">
        <v>331</v>
      </c>
      <c r="C333" s="14">
        <f t="shared" si="21"/>
        <v>1037645.9310395701</v>
      </c>
      <c r="D333" s="14">
        <f t="shared" si="22"/>
        <v>879257.24177223735</v>
      </c>
      <c r="E333" s="14">
        <f t="shared" si="23"/>
        <v>47915.645110344834</v>
      </c>
      <c r="F333" s="14">
        <f t="shared" si="20"/>
        <v>69482.144618688879</v>
      </c>
      <c r="H333" s="14" cm="1">
        <f t="array" ref="H333:K333">MMULT($C332:$F332,P_Matrix)</f>
        <v>988933.08826262038</v>
      </c>
      <c r="I333" s="14">
        <v>858380.3091535446</v>
      </c>
      <c r="J333" s="14">
        <v>47915.645110344834</v>
      </c>
      <c r="K333" s="14">
        <v>138960.28367256364</v>
      </c>
      <c r="M333" s="12">
        <f>MAX((Inputs!F$25*POWER(1+(Inputs!$C$3-(Inputs!$C$3*(('Steady State'!$A333-1)/Inputs!$C$4))),'Steady State'!$A333-1)),M332)</f>
        <v>48712.842776949758</v>
      </c>
      <c r="N333" s="12">
        <f>MAX((Inputs!G$25*POWER(1+(Inputs!$C$3-(Inputs!$C$3*(('Steady State'!$A333-1)/Inputs!$C$4))),'Steady State'!$A333-1)),N332)</f>
        <v>20876.932618692754</v>
      </c>
      <c r="O333" s="12">
        <v>0</v>
      </c>
      <c r="P333" s="12">
        <v>0</v>
      </c>
    </row>
    <row r="334" spans="1:16" x14ac:dyDescent="0.35">
      <c r="A334">
        <v>332</v>
      </c>
      <c r="C334" s="14">
        <f t="shared" si="21"/>
        <v>1037684.1548829025</v>
      </c>
      <c r="D334" s="14">
        <f t="shared" si="22"/>
        <v>879320.01317862677</v>
      </c>
      <c r="E334" s="14">
        <f t="shared" si="23"/>
        <v>47918.418794324971</v>
      </c>
      <c r="F334" s="14">
        <f t="shared" si="20"/>
        <v>69486.006461940444</v>
      </c>
      <c r="H334" s="14" cm="1">
        <f t="array" ref="H334:K334">MMULT($C333:$F333,P_Matrix)</f>
        <v>988971.31210595276</v>
      </c>
      <c r="I334" s="14">
        <v>858443.08055993402</v>
      </c>
      <c r="J334" s="14">
        <v>47918.418794324971</v>
      </c>
      <c r="K334" s="14">
        <v>138968.15108062932</v>
      </c>
      <c r="M334" s="12">
        <f>MAX((Inputs!F$25*POWER(1+(Inputs!$C$3-(Inputs!$C$3*(('Steady State'!$A334-1)/Inputs!$C$4))),'Steady State'!$A334-1)),M333)</f>
        <v>48712.842776949758</v>
      </c>
      <c r="N334" s="12">
        <f>MAX((Inputs!G$25*POWER(1+(Inputs!$C$3-(Inputs!$C$3*(('Steady State'!$A334-1)/Inputs!$C$4))),'Steady State'!$A334-1)),N333)</f>
        <v>20876.932618692754</v>
      </c>
      <c r="O334" s="12">
        <v>0</v>
      </c>
      <c r="P334" s="12">
        <v>0</v>
      </c>
    </row>
    <row r="335" spans="1:16" x14ac:dyDescent="0.35">
      <c r="A335">
        <v>333</v>
      </c>
      <c r="C335" s="14">
        <f t="shared" si="21"/>
        <v>1037720.9903780969</v>
      </c>
      <c r="D335" s="14">
        <f t="shared" si="22"/>
        <v>879380.54917576257</v>
      </c>
      <c r="E335" s="14">
        <f t="shared" si="23"/>
        <v>47921.092957210276</v>
      </c>
      <c r="F335" s="14">
        <f t="shared" si="20"/>
        <v>69489.729740427108</v>
      </c>
      <c r="H335" s="14" cm="1">
        <f t="array" ref="H335:K335">MMULT($C334:$F334,P_Matrix)</f>
        <v>989008.14760114718</v>
      </c>
      <c r="I335" s="14">
        <v>858503.61655706982</v>
      </c>
      <c r="J335" s="14">
        <v>47921.092957210276</v>
      </c>
      <c r="K335" s="14">
        <v>138975.73620236755</v>
      </c>
      <c r="M335" s="12">
        <f>MAX((Inputs!F$25*POWER(1+(Inputs!$C$3-(Inputs!$C$3*(('Steady State'!$A335-1)/Inputs!$C$4))),'Steady State'!$A335-1)),M334)</f>
        <v>48712.842776949758</v>
      </c>
      <c r="N335" s="12">
        <f>MAX((Inputs!G$25*POWER(1+(Inputs!$C$3-(Inputs!$C$3*(('Steady State'!$A335-1)/Inputs!$C$4))),'Steady State'!$A335-1)),N334)</f>
        <v>20876.932618692754</v>
      </c>
      <c r="O335" s="12">
        <v>0</v>
      </c>
      <c r="P335" s="12">
        <v>0</v>
      </c>
    </row>
    <row r="336" spans="1:16" x14ac:dyDescent="0.35">
      <c r="A336">
        <v>334</v>
      </c>
      <c r="C336" s="14">
        <f t="shared" si="21"/>
        <v>1037756.4885198395</v>
      </c>
      <c r="D336" s="14">
        <f t="shared" si="22"/>
        <v>879438.92879108957</v>
      </c>
      <c r="E336" s="14">
        <f t="shared" si="23"/>
        <v>47923.671169864763</v>
      </c>
      <c r="F336" s="14">
        <f t="shared" si="20"/>
        <v>69493.319425918336</v>
      </c>
      <c r="H336" s="14" cm="1">
        <f t="array" ref="H336:K336">MMULT($C335:$F335,P_Matrix)</f>
        <v>989043.64574288973</v>
      </c>
      <c r="I336" s="14">
        <v>858561.99617239682</v>
      </c>
      <c r="J336" s="14">
        <v>47923.671169864763</v>
      </c>
      <c r="K336" s="14">
        <v>138983.04916634544</v>
      </c>
      <c r="M336" s="12">
        <f>MAX((Inputs!F$25*POWER(1+(Inputs!$C$3-(Inputs!$C$3*(('Steady State'!$A336-1)/Inputs!$C$4))),'Steady State'!$A336-1)),M335)</f>
        <v>48712.842776949758</v>
      </c>
      <c r="N336" s="12">
        <f>MAX((Inputs!G$25*POWER(1+(Inputs!$C$3-(Inputs!$C$3*(('Steady State'!$A336-1)/Inputs!$C$4))),'Steady State'!$A336-1)),N335)</f>
        <v>20876.932618692754</v>
      </c>
      <c r="O336" s="12">
        <v>0</v>
      </c>
      <c r="P336" s="12">
        <v>0</v>
      </c>
    </row>
    <row r="337" spans="1:16" x14ac:dyDescent="0.35">
      <c r="A337">
        <v>335</v>
      </c>
      <c r="C337" s="14">
        <f t="shared" si="21"/>
        <v>1037790.6983904961</v>
      </c>
      <c r="D337" s="14">
        <f t="shared" si="22"/>
        <v>879495.22829911776</v>
      </c>
      <c r="E337" s="14">
        <f t="shared" si="23"/>
        <v>47926.156875028144</v>
      </c>
      <c r="F337" s="14">
        <f t="shared" si="20"/>
        <v>69496.780311794078</v>
      </c>
      <c r="H337" s="14" cm="1">
        <f t="array" ref="H337:K337">MMULT($C336:$F336,P_Matrix)</f>
        <v>989077.85561354633</v>
      </c>
      <c r="I337" s="14">
        <v>858618.29568042501</v>
      </c>
      <c r="J337" s="14">
        <v>47926.156875028144</v>
      </c>
      <c r="K337" s="14">
        <v>138990.09973771241</v>
      </c>
      <c r="M337" s="12">
        <f>MAX((Inputs!F$25*POWER(1+(Inputs!$C$3-(Inputs!$C$3*(('Steady State'!$A337-1)/Inputs!$C$4))),'Steady State'!$A337-1)),M336)</f>
        <v>48712.842776949758</v>
      </c>
      <c r="N337" s="12">
        <f>MAX((Inputs!G$25*POWER(1+(Inputs!$C$3-(Inputs!$C$3*(('Steady State'!$A337-1)/Inputs!$C$4))),'Steady State'!$A337-1)),N336)</f>
        <v>20876.932618692754</v>
      </c>
      <c r="O337" s="12">
        <v>0</v>
      </c>
      <c r="P337" s="12">
        <v>0</v>
      </c>
    </row>
    <row r="338" spans="1:16" x14ac:dyDescent="0.35">
      <c r="A338">
        <v>336</v>
      </c>
      <c r="C338" s="14">
        <f t="shared" si="21"/>
        <v>1037823.66723451</v>
      </c>
      <c r="D338" s="14">
        <f t="shared" si="22"/>
        <v>879549.52131441585</v>
      </c>
      <c r="E338" s="14">
        <f t="shared" si="23"/>
        <v>47928.553391913025</v>
      </c>
      <c r="F338" s="14">
        <f t="shared" si="20"/>
        <v>69500.117019445461</v>
      </c>
      <c r="H338" s="14" cm="1">
        <f t="array" ref="H338:K338">MMULT($C337:$F337,P_Matrix)</f>
        <v>989110.8244575602</v>
      </c>
      <c r="I338" s="14">
        <v>858672.5886957231</v>
      </c>
      <c r="J338" s="14">
        <v>47928.553391913025</v>
      </c>
      <c r="K338" s="14">
        <v>138996.89733123954</v>
      </c>
      <c r="M338" s="12">
        <f>MAX((Inputs!F$25*POWER(1+(Inputs!$C$3-(Inputs!$C$3*(('Steady State'!$A338-1)/Inputs!$C$4))),'Steady State'!$A338-1)),M337)</f>
        <v>48712.842776949758</v>
      </c>
      <c r="N338" s="12">
        <f>MAX((Inputs!G$25*POWER(1+(Inputs!$C$3-(Inputs!$C$3*(('Steady State'!$A338-1)/Inputs!$C$4))),'Steady State'!$A338-1)),N337)</f>
        <v>20876.932618692754</v>
      </c>
      <c r="O338" s="12">
        <v>0</v>
      </c>
      <c r="P338" s="12">
        <v>0</v>
      </c>
    </row>
    <row r="339" spans="1:16" x14ac:dyDescent="0.35">
      <c r="A339">
        <v>337</v>
      </c>
      <c r="C339" s="14">
        <f t="shared" si="21"/>
        <v>1037855.4405297245</v>
      </c>
      <c r="D339" s="14">
        <f t="shared" si="22"/>
        <v>879601.87888167368</v>
      </c>
      <c r="E339" s="14">
        <f t="shared" si="23"/>
        <v>47930.863920637072</v>
      </c>
      <c r="F339" s="14">
        <f t="shared" si="20"/>
        <v>69503.33400444602</v>
      </c>
      <c r="H339" s="14" cm="1">
        <f t="array" ref="H339:K339">MMULT($C338:$F338,P_Matrix)</f>
        <v>989142.59775277472</v>
      </c>
      <c r="I339" s="14">
        <v>858724.94626298093</v>
      </c>
      <c r="J339" s="14">
        <v>47930.863920637072</v>
      </c>
      <c r="K339" s="14">
        <v>139003.45102389148</v>
      </c>
      <c r="M339" s="12">
        <f>MAX((Inputs!F$25*POWER(1+(Inputs!$C$3-(Inputs!$C$3*(('Steady State'!$A339-1)/Inputs!$C$4))),'Steady State'!$A339-1)),M338)</f>
        <v>48712.842776949758</v>
      </c>
      <c r="N339" s="12">
        <f>MAX((Inputs!G$25*POWER(1+(Inputs!$C$3-(Inputs!$C$3*(('Steady State'!$A339-1)/Inputs!$C$4))),'Steady State'!$A339-1)),N338)</f>
        <v>20876.932618692754</v>
      </c>
      <c r="O339" s="12">
        <v>0</v>
      </c>
      <c r="P339" s="12">
        <v>0</v>
      </c>
    </row>
    <row r="340" spans="1:16" x14ac:dyDescent="0.35">
      <c r="A340">
        <v>338</v>
      </c>
      <c r="C340" s="14">
        <f t="shared" si="21"/>
        <v>1037886.0620557712</v>
      </c>
      <c r="D340" s="14">
        <f t="shared" si="22"/>
        <v>879652.36956290912</v>
      </c>
      <c r="E340" s="14">
        <f t="shared" si="23"/>
        <v>47933.091546496224</v>
      </c>
      <c r="F340" s="14">
        <f t="shared" si="20"/>
        <v>69506.435562501225</v>
      </c>
      <c r="H340" s="14" cm="1">
        <f t="array" ref="H340:K340">MMULT($C339:$F339,P_Matrix)</f>
        <v>989173.21927882149</v>
      </c>
      <c r="I340" s="14">
        <v>858775.43694421637</v>
      </c>
      <c r="J340" s="14">
        <v>47933.091546496224</v>
      </c>
      <c r="K340" s="14">
        <v>139009.76956694725</v>
      </c>
      <c r="M340" s="12">
        <f>MAX((Inputs!F$25*POWER(1+(Inputs!$C$3-(Inputs!$C$3*(('Steady State'!$A340-1)/Inputs!$C$4))),'Steady State'!$A340-1)),M339)</f>
        <v>48712.842776949758</v>
      </c>
      <c r="N340" s="12">
        <f>MAX((Inputs!G$25*POWER(1+(Inputs!$C$3-(Inputs!$C$3*(('Steady State'!$A340-1)/Inputs!$C$4))),'Steady State'!$A340-1)),N339)</f>
        <v>20876.932618692754</v>
      </c>
      <c r="O340" s="12">
        <v>0</v>
      </c>
      <c r="P340" s="12">
        <v>0</v>
      </c>
    </row>
    <row r="341" spans="1:16" x14ac:dyDescent="0.35">
      <c r="A341">
        <v>339</v>
      </c>
      <c r="C341" s="14">
        <f t="shared" si="21"/>
        <v>1037915.5739596534</v>
      </c>
      <c r="D341" s="14">
        <f t="shared" si="22"/>
        <v>879701.05952189676</v>
      </c>
      <c r="E341" s="14">
        <f t="shared" si="23"/>
        <v>47935.239244084543</v>
      </c>
      <c r="F341" s="14">
        <f t="shared" si="20"/>
        <v>69509.425835184462</v>
      </c>
      <c r="H341" s="14" cm="1">
        <f t="array" ref="H341:K341">MMULT($C340:$F340,P_Matrix)</f>
        <v>989202.73118270363</v>
      </c>
      <c r="I341" s="14">
        <v>858824.12690320401</v>
      </c>
      <c r="J341" s="14">
        <v>47935.239244084543</v>
      </c>
      <c r="K341" s="14">
        <v>139015.86139768569</v>
      </c>
      <c r="M341" s="12">
        <f>MAX((Inputs!F$25*POWER(1+(Inputs!$C$3-(Inputs!$C$3*(('Steady State'!$A341-1)/Inputs!$C$4))),'Steady State'!$A341-1)),M340)</f>
        <v>48712.842776949758</v>
      </c>
      <c r="N341" s="12">
        <f>MAX((Inputs!G$25*POWER(1+(Inputs!$C$3-(Inputs!$C$3*(('Steady State'!$A341-1)/Inputs!$C$4))),'Steady State'!$A341-1)),N340)</f>
        <v>20876.932618692754</v>
      </c>
      <c r="O341" s="12">
        <v>0</v>
      </c>
      <c r="P341" s="12">
        <v>0</v>
      </c>
    </row>
    <row r="342" spans="1:16" x14ac:dyDescent="0.35">
      <c r="A342">
        <v>340</v>
      </c>
      <c r="C342" s="14">
        <f t="shared" si="21"/>
        <v>1037944.0168186513</v>
      </c>
      <c r="D342" s="14">
        <f t="shared" si="22"/>
        <v>879748.01260589191</v>
      </c>
      <c r="E342" s="14">
        <f t="shared" si="23"/>
        <v>47937.309881266228</v>
      </c>
      <c r="F342" s="14">
        <f t="shared" si="20"/>
        <v>69512.308815467637</v>
      </c>
      <c r="H342" s="14" cm="1">
        <f t="array" ref="H342:K342">MMULT($C341:$F341,P_Matrix)</f>
        <v>989231.1740417016</v>
      </c>
      <c r="I342" s="14">
        <v>858871.07998719916</v>
      </c>
      <c r="J342" s="14">
        <v>47937.309881266228</v>
      </c>
      <c r="K342" s="14">
        <v>139021.7346506521</v>
      </c>
      <c r="M342" s="12">
        <f>MAX((Inputs!F$25*POWER(1+(Inputs!$C$3-(Inputs!$C$3*(('Steady State'!$A342-1)/Inputs!$C$4))),'Steady State'!$A342-1)),M341)</f>
        <v>48712.842776949758</v>
      </c>
      <c r="N342" s="12">
        <f>MAX((Inputs!G$25*POWER(1+(Inputs!$C$3-(Inputs!$C$3*(('Steady State'!$A342-1)/Inputs!$C$4))),'Steady State'!$A342-1)),N341)</f>
        <v>20876.932618692754</v>
      </c>
      <c r="O342" s="12">
        <v>0</v>
      </c>
      <c r="P342" s="12">
        <v>0</v>
      </c>
    </row>
    <row r="343" spans="1:16" x14ac:dyDescent="0.35">
      <c r="A343">
        <v>341</v>
      </c>
      <c r="C343" s="14">
        <f t="shared" si="21"/>
        <v>1037971.4297006675</v>
      </c>
      <c r="D343" s="14">
        <f t="shared" si="22"/>
        <v>879793.29042472644</v>
      </c>
      <c r="E343" s="14">
        <f t="shared" si="23"/>
        <v>47939.306223005173</v>
      </c>
      <c r="F343" s="14">
        <f t="shared" si="20"/>
        <v>69515.088353052852</v>
      </c>
      <c r="H343" s="14" cm="1">
        <f t="array" ref="H343:K343">MMULT($C342:$F342,P_Matrix)</f>
        <v>989258.58692371775</v>
      </c>
      <c r="I343" s="14">
        <v>858916.35780603369</v>
      </c>
      <c r="J343" s="14">
        <v>47939.306223005173</v>
      </c>
      <c r="K343" s="14">
        <v>139027.39716852049</v>
      </c>
      <c r="M343" s="12">
        <f>MAX((Inputs!F$25*POWER(1+(Inputs!$C$3-(Inputs!$C$3*(('Steady State'!$A343-1)/Inputs!$C$4))),'Steady State'!$A343-1)),M342)</f>
        <v>48712.842776949758</v>
      </c>
      <c r="N343" s="12">
        <f>MAX((Inputs!G$25*POWER(1+(Inputs!$C$3-(Inputs!$C$3*(('Steady State'!$A343-1)/Inputs!$C$4))),'Steady State'!$A343-1)),N342)</f>
        <v>20876.932618692754</v>
      </c>
      <c r="O343" s="12">
        <v>0</v>
      </c>
      <c r="P343" s="12">
        <v>0</v>
      </c>
    </row>
    <row r="344" spans="1:16" x14ac:dyDescent="0.35">
      <c r="A344">
        <v>342</v>
      </c>
      <c r="C344" s="14">
        <f t="shared" si="21"/>
        <v>1037997.850222125</v>
      </c>
      <c r="D344" s="14">
        <f t="shared" si="22"/>
        <v>879836.95242734649</v>
      </c>
      <c r="E344" s="14">
        <f t="shared" si="23"/>
        <v>47941.230935057043</v>
      </c>
      <c r="F344" s="14">
        <f t="shared" si="20"/>
        <v>69517.7681595131</v>
      </c>
      <c r="H344" s="14" cm="1">
        <f t="array" ref="H344:K344">MMULT($C343:$F343,P_Matrix)</f>
        <v>989285.0074451752</v>
      </c>
      <c r="I344" s="14">
        <v>858960.01980865374</v>
      </c>
      <c r="J344" s="14">
        <v>47941.230935057043</v>
      </c>
      <c r="K344" s="14">
        <v>139032.85651256595</v>
      </c>
      <c r="M344" s="12">
        <f>MAX((Inputs!F$25*POWER(1+(Inputs!$C$3-(Inputs!$C$3*(('Steady State'!$A344-1)/Inputs!$C$4))),'Steady State'!$A344-1)),M343)</f>
        <v>48712.842776949758</v>
      </c>
      <c r="N344" s="12">
        <f>MAX((Inputs!G$25*POWER(1+(Inputs!$C$3-(Inputs!$C$3*(('Steady State'!$A344-1)/Inputs!$C$4))),'Steady State'!$A344-1)),N343)</f>
        <v>20876.932618692754</v>
      </c>
      <c r="O344" s="12">
        <v>0</v>
      </c>
      <c r="P344" s="12">
        <v>0</v>
      </c>
    </row>
    <row r="345" spans="1:16" x14ac:dyDescent="0.35">
      <c r="A345">
        <v>343</v>
      </c>
      <c r="C345" s="14">
        <f t="shared" si="21"/>
        <v>1038023.3146035264</v>
      </c>
      <c r="D345" s="14">
        <f t="shared" si="22"/>
        <v>879879.0559758672</v>
      </c>
      <c r="E345" s="14">
        <f t="shared" si="23"/>
        <v>47943.086587528938</v>
      </c>
      <c r="F345" s="14">
        <f t="shared" si="20"/>
        <v>69520.351813248388</v>
      </c>
      <c r="H345" s="14" cm="1">
        <f t="array" ref="H345:K345">MMULT($C344:$F344,P_Matrix)</f>
        <v>989310.47182657663</v>
      </c>
      <c r="I345" s="14">
        <v>859002.12335717445</v>
      </c>
      <c r="J345" s="14">
        <v>47943.086587528938</v>
      </c>
      <c r="K345" s="14">
        <v>139038.11997276149</v>
      </c>
      <c r="M345" s="12">
        <f>MAX((Inputs!F$25*POWER(1+(Inputs!$C$3-(Inputs!$C$3*(('Steady State'!$A345-1)/Inputs!$C$4))),'Steady State'!$A345-1)),M344)</f>
        <v>48712.842776949758</v>
      </c>
      <c r="N345" s="12">
        <f>MAX((Inputs!G$25*POWER(1+(Inputs!$C$3-(Inputs!$C$3*(('Steady State'!$A345-1)/Inputs!$C$4))),'Steady State'!$A345-1)),N344)</f>
        <v>20876.932618692754</v>
      </c>
      <c r="O345" s="12">
        <v>0</v>
      </c>
      <c r="P345" s="12">
        <v>0</v>
      </c>
    </row>
    <row r="346" spans="1:16" x14ac:dyDescent="0.35">
      <c r="A346">
        <v>344</v>
      </c>
      <c r="C346" s="14">
        <f t="shared" si="21"/>
        <v>1038047.8577227761</v>
      </c>
      <c r="D346" s="14">
        <f t="shared" si="22"/>
        <v>879919.6564172135</v>
      </c>
      <c r="E346" s="14">
        <f t="shared" si="23"/>
        <v>47944.875658311299</v>
      </c>
      <c r="F346" s="14">
        <f t="shared" si="20"/>
        <v>69522.842764264031</v>
      </c>
      <c r="H346" s="14" cm="1">
        <f t="array" ref="H346:K346">MMULT($C345:$F345,P_Matrix)</f>
        <v>989335.01494582638</v>
      </c>
      <c r="I346" s="14">
        <v>859042.72379852075</v>
      </c>
      <c r="J346" s="14">
        <v>47944.875658311299</v>
      </c>
      <c r="K346" s="14">
        <v>139043.19457751242</v>
      </c>
      <c r="M346" s="12">
        <f>MAX((Inputs!F$25*POWER(1+(Inputs!$C$3-(Inputs!$C$3*(('Steady State'!$A346-1)/Inputs!$C$4))),'Steady State'!$A346-1)),M345)</f>
        <v>48712.842776949758</v>
      </c>
      <c r="N346" s="12">
        <f>MAX((Inputs!G$25*POWER(1+(Inputs!$C$3-(Inputs!$C$3*(('Steady State'!$A346-1)/Inputs!$C$4))),'Steady State'!$A346-1)),N345)</f>
        <v>20876.932618692754</v>
      </c>
      <c r="O346" s="12">
        <v>0</v>
      </c>
      <c r="P346" s="12">
        <v>0</v>
      </c>
    </row>
    <row r="347" spans="1:16" x14ac:dyDescent="0.35">
      <c r="A347">
        <v>345</v>
      </c>
      <c r="C347" s="14">
        <f t="shared" si="21"/>
        <v>1038071.5131663625</v>
      </c>
      <c r="D347" s="14">
        <f t="shared" si="22"/>
        <v>879958.80715241656</v>
      </c>
      <c r="E347" s="14">
        <f t="shared" si="23"/>
        <v>47946.600536386672</v>
      </c>
      <c r="F347" s="14">
        <f t="shared" si="20"/>
        <v>69525.244338777498</v>
      </c>
      <c r="H347" s="14" cm="1">
        <f t="array" ref="H347:K347">MMULT($C346:$F346,P_Matrix)</f>
        <v>989358.67038941279</v>
      </c>
      <c r="I347" s="14">
        <v>859081.87453372381</v>
      </c>
      <c r="J347" s="14">
        <v>47946.600536386672</v>
      </c>
      <c r="K347" s="14">
        <v>139048.08710304153</v>
      </c>
      <c r="M347" s="12">
        <f>MAX((Inputs!F$25*POWER(1+(Inputs!$C$3-(Inputs!$C$3*(('Steady State'!$A347-1)/Inputs!$C$4))),'Steady State'!$A347-1)),M346)</f>
        <v>48712.842776949758</v>
      </c>
      <c r="N347" s="12">
        <f>MAX((Inputs!G$25*POWER(1+(Inputs!$C$3-(Inputs!$C$3*(('Steady State'!$A347-1)/Inputs!$C$4))),'Steady State'!$A347-1)),N346)</f>
        <v>20876.932618692754</v>
      </c>
      <c r="O347" s="12">
        <v>0</v>
      </c>
      <c r="P347" s="12">
        <v>0</v>
      </c>
    </row>
    <row r="348" spans="1:16" x14ac:dyDescent="0.35">
      <c r="A348">
        <v>346</v>
      </c>
      <c r="C348" s="14">
        <f t="shared" si="21"/>
        <v>1038094.3132784932</v>
      </c>
      <c r="D348" s="14">
        <f t="shared" si="22"/>
        <v>879996.55970363505</v>
      </c>
      <c r="E348" s="14">
        <f t="shared" si="23"/>
        <v>47948.263525019793</v>
      </c>
      <c r="F348" s="14">
        <f t="shared" si="20"/>
        <v>69527.559743660036</v>
      </c>
      <c r="H348" s="14" cm="1">
        <f t="array" ref="H348:K348">MMULT($C347:$F347,P_Matrix)</f>
        <v>989381.47050154349</v>
      </c>
      <c r="I348" s="14">
        <v>859119.6270849423</v>
      </c>
      <c r="J348" s="14">
        <v>47948.263525019793</v>
      </c>
      <c r="K348" s="14">
        <v>139052.80408243753</v>
      </c>
      <c r="M348" s="12">
        <f>MAX((Inputs!F$25*POWER(1+(Inputs!$C$3-(Inputs!$C$3*(('Steady State'!$A348-1)/Inputs!$C$4))),'Steady State'!$A348-1)),M347)</f>
        <v>48712.842776949758</v>
      </c>
      <c r="N348" s="12">
        <f>MAX((Inputs!G$25*POWER(1+(Inputs!$C$3-(Inputs!$C$3*(('Steady State'!$A348-1)/Inputs!$C$4))),'Steady State'!$A348-1)),N347)</f>
        <v>20876.932618692754</v>
      </c>
      <c r="O348" s="12">
        <v>0</v>
      </c>
      <c r="P348" s="12">
        <v>0</v>
      </c>
    </row>
    <row r="349" spans="1:16" x14ac:dyDescent="0.35">
      <c r="A349">
        <v>347</v>
      </c>
      <c r="C349" s="14">
        <f t="shared" si="21"/>
        <v>1038116.2892082717</v>
      </c>
      <c r="D349" s="14">
        <f t="shared" si="22"/>
        <v>880032.9637789668</v>
      </c>
      <c r="E349" s="14">
        <f t="shared" si="23"/>
        <v>47949.866844833159</v>
      </c>
      <c r="F349" s="14">
        <f t="shared" si="20"/>
        <v>69529.792070718802</v>
      </c>
      <c r="H349" s="14" cm="1">
        <f t="array" ref="H349:K349">MMULT($C348:$F348,P_Matrix)</f>
        <v>989403.44643132191</v>
      </c>
      <c r="I349" s="14">
        <v>859156.03116027405</v>
      </c>
      <c r="J349" s="14">
        <v>47949.866844833159</v>
      </c>
      <c r="K349" s="14">
        <v>139057.35181437884</v>
      </c>
      <c r="M349" s="12">
        <f>MAX((Inputs!F$25*POWER(1+(Inputs!$C$3-(Inputs!$C$3*(('Steady State'!$A349-1)/Inputs!$C$4))),'Steady State'!$A349-1)),M348)</f>
        <v>48712.842776949758</v>
      </c>
      <c r="N349" s="12">
        <f>MAX((Inputs!G$25*POWER(1+(Inputs!$C$3-(Inputs!$C$3*(('Steady State'!$A349-1)/Inputs!$C$4))),'Steady State'!$A349-1)),N348)</f>
        <v>20876.932618692754</v>
      </c>
      <c r="O349" s="12">
        <v>0</v>
      </c>
      <c r="P349" s="12">
        <v>0</v>
      </c>
    </row>
    <row r="350" spans="1:16" x14ac:dyDescent="0.35">
      <c r="A350">
        <v>348</v>
      </c>
      <c r="C350" s="14">
        <f t="shared" si="21"/>
        <v>1038137.470954998</v>
      </c>
      <c r="D350" s="14">
        <f t="shared" si="22"/>
        <v>880068.06733511819</v>
      </c>
      <c r="E350" s="14">
        <f t="shared" si="23"/>
        <v>47951.412636772278</v>
      </c>
      <c r="F350" s="14">
        <f t="shared" si="20"/>
        <v>69531.944300825446</v>
      </c>
      <c r="H350" s="14" cm="1">
        <f t="array" ref="H350:K350">MMULT($C349:$F349,P_Matrix)</f>
        <v>989424.6281780483</v>
      </c>
      <c r="I350" s="14">
        <v>859191.13471642544</v>
      </c>
      <c r="J350" s="14">
        <v>47951.412636772278</v>
      </c>
      <c r="K350" s="14">
        <v>139061.73637154425</v>
      </c>
      <c r="M350" s="12">
        <f>MAX((Inputs!F$25*POWER(1+(Inputs!$C$3-(Inputs!$C$3*(('Steady State'!$A350-1)/Inputs!$C$4))),'Steady State'!$A350-1)),M349)</f>
        <v>48712.842776949758</v>
      </c>
      <c r="N350" s="12">
        <f>MAX((Inputs!G$25*POWER(1+(Inputs!$C$3-(Inputs!$C$3*(('Steady State'!$A350-1)/Inputs!$C$4))),'Steady State'!$A350-1)),N349)</f>
        <v>20876.932618692754</v>
      </c>
      <c r="O350" s="12">
        <v>0</v>
      </c>
      <c r="P350" s="12">
        <v>0</v>
      </c>
    </row>
    <row r="351" spans="1:16" x14ac:dyDescent="0.35">
      <c r="A351">
        <v>349</v>
      </c>
      <c r="C351" s="14">
        <f t="shared" si="21"/>
        <v>1038157.8874116763</v>
      </c>
      <c r="D351" s="14">
        <f t="shared" si="22"/>
        <v>880101.91663799365</v>
      </c>
      <c r="E351" s="14">
        <f t="shared" si="23"/>
        <v>47952.902964964524</v>
      </c>
      <c r="F351" s="14">
        <f t="shared" si="20"/>
        <v>69534.019307896553</v>
      </c>
      <c r="H351" s="14" cm="1">
        <f t="array" ref="H351:K351">MMULT($C350:$F350,P_Matrix)</f>
        <v>989445.0446347266</v>
      </c>
      <c r="I351" s="14">
        <v>859224.9840193009</v>
      </c>
      <c r="J351" s="14">
        <v>47952.902964964524</v>
      </c>
      <c r="K351" s="14">
        <v>139065.963608722</v>
      </c>
      <c r="M351" s="12">
        <f>MAX((Inputs!F$25*POWER(1+(Inputs!$C$3-(Inputs!$C$3*(('Steady State'!$A351-1)/Inputs!$C$4))),'Steady State'!$A351-1)),M350)</f>
        <v>48712.842776949758</v>
      </c>
      <c r="N351" s="12">
        <f>MAX((Inputs!G$25*POWER(1+(Inputs!$C$3-(Inputs!$C$3*(('Steady State'!$A351-1)/Inputs!$C$4))),'Steady State'!$A351-1)),N350)</f>
        <v>20876.932618692754</v>
      </c>
      <c r="O351" s="12">
        <v>0</v>
      </c>
      <c r="P351" s="12">
        <v>0</v>
      </c>
    </row>
    <row r="352" spans="1:16" x14ac:dyDescent="0.35">
      <c r="A352">
        <v>350</v>
      </c>
      <c r="C352" s="14">
        <f t="shared" si="21"/>
        <v>1038177.5664068019</v>
      </c>
      <c r="D352" s="14">
        <f t="shared" si="22"/>
        <v>880134.55632126844</v>
      </c>
      <c r="E352" s="14">
        <f t="shared" si="23"/>
        <v>47954.339819475412</v>
      </c>
      <c r="F352" s="14">
        <f t="shared" si="20"/>
        <v>69536.01986273122</v>
      </c>
      <c r="H352" s="14" cm="1">
        <f t="array" ref="H352:K352">MMULT($C351:$F351,P_Matrix)</f>
        <v>989464.72362985217</v>
      </c>
      <c r="I352" s="14">
        <v>859257.62370257569</v>
      </c>
      <c r="J352" s="14">
        <v>47954.339819475412</v>
      </c>
      <c r="K352" s="14">
        <v>139070.03917062777</v>
      </c>
      <c r="M352" s="12">
        <f>MAX((Inputs!F$25*POWER(1+(Inputs!$C$3-(Inputs!$C$3*(('Steady State'!$A352-1)/Inputs!$C$4))),'Steady State'!$A352-1)),M351)</f>
        <v>48712.842776949758</v>
      </c>
      <c r="N352" s="12">
        <f>MAX((Inputs!G$25*POWER(1+(Inputs!$C$3-(Inputs!$C$3*(('Steady State'!$A352-1)/Inputs!$C$4))),'Steady State'!$A352-1)),N351)</f>
        <v>20876.932618692754</v>
      </c>
      <c r="O352" s="12">
        <v>0</v>
      </c>
      <c r="P352" s="12">
        <v>0</v>
      </c>
    </row>
    <row r="353" spans="1:16" x14ac:dyDescent="0.35">
      <c r="A353">
        <v>351</v>
      </c>
      <c r="C353" s="14">
        <f t="shared" si="21"/>
        <v>1038196.5347445037</v>
      </c>
      <c r="D353" s="14">
        <f t="shared" si="22"/>
        <v>880166.02944300754</v>
      </c>
      <c r="E353" s="14">
        <f t="shared" si="23"/>
        <v>47955.725118965944</v>
      </c>
      <c r="F353" s="14">
        <f t="shared" si="20"/>
        <v>69537.948636710964</v>
      </c>
      <c r="H353" s="14" cm="1">
        <f t="array" ref="H353:K353">MMULT($C352:$F352,P_Matrix)</f>
        <v>989483.69196755392</v>
      </c>
      <c r="I353" s="14">
        <v>859289.09682431479</v>
      </c>
      <c r="J353" s="14">
        <v>47955.725118965944</v>
      </c>
      <c r="K353" s="14">
        <v>139073.96849944218</v>
      </c>
      <c r="M353" s="12">
        <f>MAX((Inputs!F$25*POWER(1+(Inputs!$C$3-(Inputs!$C$3*(('Steady State'!$A353-1)/Inputs!$C$4))),'Steady State'!$A353-1)),M352)</f>
        <v>48712.842776949758</v>
      </c>
      <c r="N353" s="12">
        <f>MAX((Inputs!G$25*POWER(1+(Inputs!$C$3-(Inputs!$C$3*(('Steady State'!$A353-1)/Inputs!$C$4))),'Steady State'!$A353-1)),N352)</f>
        <v>20876.932618692754</v>
      </c>
      <c r="O353" s="12">
        <v>0</v>
      </c>
      <c r="P353" s="12">
        <v>0</v>
      </c>
    </row>
    <row r="354" spans="1:16" x14ac:dyDescent="0.35">
      <c r="A354">
        <v>352</v>
      </c>
      <c r="C354" s="14">
        <f t="shared" si="21"/>
        <v>1038214.8182431099</v>
      </c>
      <c r="D354" s="14">
        <f t="shared" si="22"/>
        <v>880196.37754038826</v>
      </c>
      <c r="E354" s="14">
        <f t="shared" si="23"/>
        <v>47957.060713254679</v>
      </c>
      <c r="F354" s="14">
        <f t="shared" si="20"/>
        <v>69539.808205366804</v>
      </c>
      <c r="H354" s="14" cm="1">
        <f t="array" ref="H354:K354">MMULT($C353:$F353,P_Matrix)</f>
        <v>989501.9754661601</v>
      </c>
      <c r="I354" s="14">
        <v>859319.44492169551</v>
      </c>
      <c r="J354" s="14">
        <v>47957.060713254679</v>
      </c>
      <c r="K354" s="14">
        <v>139077.75684207777</v>
      </c>
      <c r="M354" s="12">
        <f>MAX((Inputs!F$25*POWER(1+(Inputs!$C$3-(Inputs!$C$3*(('Steady State'!$A354-1)/Inputs!$C$4))),'Steady State'!$A354-1)),M353)</f>
        <v>48712.842776949758</v>
      </c>
      <c r="N354" s="12">
        <f>MAX((Inputs!G$25*POWER(1+(Inputs!$C$3-(Inputs!$C$3*(('Steady State'!$A354-1)/Inputs!$C$4))),'Steady State'!$A354-1)),N353)</f>
        <v>20876.932618692754</v>
      </c>
      <c r="O354" s="12">
        <v>0</v>
      </c>
      <c r="P354" s="12">
        <v>0</v>
      </c>
    </row>
    <row r="355" spans="1:16" x14ac:dyDescent="0.35">
      <c r="A355">
        <v>353</v>
      </c>
      <c r="C355" s="14">
        <f t="shared" si="21"/>
        <v>1038232.4417722024</v>
      </c>
      <c r="D355" s="14">
        <f t="shared" si="22"/>
        <v>880225.64068258659</v>
      </c>
      <c r="E355" s="14">
        <f t="shared" si="23"/>
        <v>47958.348385787787</v>
      </c>
      <c r="F355" s="14">
        <f t="shared" si="20"/>
        <v>69541.601051818609</v>
      </c>
      <c r="H355" s="14" cm="1">
        <f t="array" ref="H355:K355">MMULT($C354:$F354,P_Matrix)</f>
        <v>989519.59899525263</v>
      </c>
      <c r="I355" s="14">
        <v>859348.70806389384</v>
      </c>
      <c r="J355" s="14">
        <v>47958.348385787787</v>
      </c>
      <c r="K355" s="14">
        <v>139081.40925718541</v>
      </c>
      <c r="M355" s="12">
        <f>MAX((Inputs!F$25*POWER(1+(Inputs!$C$3-(Inputs!$C$3*(('Steady State'!$A355-1)/Inputs!$C$4))),'Steady State'!$A355-1)),M354)</f>
        <v>48712.842776949758</v>
      </c>
      <c r="N355" s="12">
        <f>MAX((Inputs!G$25*POWER(1+(Inputs!$C$3-(Inputs!$C$3*(('Steady State'!$A355-1)/Inputs!$C$4))),'Steady State'!$A355-1)),N354)</f>
        <v>20876.932618692754</v>
      </c>
      <c r="O355" s="12">
        <v>0</v>
      </c>
      <c r="P355" s="12">
        <v>0</v>
      </c>
    </row>
    <row r="356" spans="1:16" x14ac:dyDescent="0.35">
      <c r="A356">
        <v>354</v>
      </c>
      <c r="C356" s="14">
        <f t="shared" si="21"/>
        <v>1038249.4292882247</v>
      </c>
      <c r="D356" s="14">
        <f t="shared" si="22"/>
        <v>880253.85752188333</v>
      </c>
      <c r="E356" s="14">
        <f t="shared" si="23"/>
        <v>47959.589856020568</v>
      </c>
      <c r="F356" s="14">
        <f t="shared" si="20"/>
        <v>69543.329570090602</v>
      </c>
      <c r="H356" s="14" cm="1">
        <f t="array" ref="H356:K356">MMULT($C355:$F355,P_Matrix)</f>
        <v>989536.58651127492</v>
      </c>
      <c r="I356" s="14">
        <v>859376.92490319058</v>
      </c>
      <c r="J356" s="14">
        <v>47959.589856020568</v>
      </c>
      <c r="K356" s="14">
        <v>139084.93062190921</v>
      </c>
      <c r="M356" s="12">
        <f>MAX((Inputs!F$25*POWER(1+(Inputs!$C$3-(Inputs!$C$3*(('Steady State'!$A356-1)/Inputs!$C$4))),'Steady State'!$A356-1)),M355)</f>
        <v>48712.842776949758</v>
      </c>
      <c r="N356" s="12">
        <f>MAX((Inputs!G$25*POWER(1+(Inputs!$C$3-(Inputs!$C$3*(('Steady State'!$A356-1)/Inputs!$C$4))),'Steady State'!$A356-1)),N355)</f>
        <v>20876.932618692754</v>
      </c>
      <c r="O356" s="12">
        <v>0</v>
      </c>
      <c r="P356" s="12">
        <v>0</v>
      </c>
    </row>
    <row r="357" spans="1:16" x14ac:dyDescent="0.35">
      <c r="A357">
        <v>355</v>
      </c>
      <c r="C357" s="14">
        <f t="shared" si="21"/>
        <v>1038265.8038687018</v>
      </c>
      <c r="D357" s="14">
        <f t="shared" si="22"/>
        <v>880281.06534304738</v>
      </c>
      <c r="E357" s="14">
        <f t="shared" si="23"/>
        <v>47960.786781713425</v>
      </c>
      <c r="F357" s="14">
        <f t="shared" si="20"/>
        <v>69544.996068308392</v>
      </c>
      <c r="H357" s="14" cm="1">
        <f t="array" ref="H357:K357">MMULT($C356:$F356,P_Matrix)</f>
        <v>989552.96109175205</v>
      </c>
      <c r="I357" s="14">
        <v>859404.13272435463</v>
      </c>
      <c r="J357" s="14">
        <v>47960.786781713425</v>
      </c>
      <c r="K357" s="14">
        <v>139088.32563839899</v>
      </c>
      <c r="M357" s="12">
        <f>MAX((Inputs!F$25*POWER(1+(Inputs!$C$3-(Inputs!$C$3*(('Steady State'!$A357-1)/Inputs!$C$4))),'Steady State'!$A357-1)),M356)</f>
        <v>48712.842776949758</v>
      </c>
      <c r="N357" s="12">
        <f>MAX((Inputs!G$25*POWER(1+(Inputs!$C$3-(Inputs!$C$3*(('Steady State'!$A357-1)/Inputs!$C$4))),'Steady State'!$A357-1)),N356)</f>
        <v>20876.932618692754</v>
      </c>
      <c r="O357" s="12">
        <v>0</v>
      </c>
      <c r="P357" s="12">
        <v>0</v>
      </c>
    </row>
    <row r="358" spans="1:16" x14ac:dyDescent="0.35">
      <c r="A358">
        <v>356</v>
      </c>
      <c r="C358" s="14">
        <f t="shared" si="21"/>
        <v>1038281.5877451313</v>
      </c>
      <c r="D358" s="14">
        <f t="shared" si="22"/>
        <v>880307.30011104746</v>
      </c>
      <c r="E358" s="14">
        <f t="shared" si="23"/>
        <v>47961.940761145546</v>
      </c>
      <c r="F358" s="14">
        <f t="shared" si="20"/>
        <v>69546.602771780832</v>
      </c>
      <c r="H358" s="14" cm="1">
        <f t="array" ref="H358:K358">MMULT($C357:$F357,P_Matrix)</f>
        <v>989568.74496818159</v>
      </c>
      <c r="I358" s="14">
        <v>859430.36749235471</v>
      </c>
      <c r="J358" s="14">
        <v>47961.940761145546</v>
      </c>
      <c r="K358" s="14">
        <v>139091.59884008922</v>
      </c>
      <c r="M358" s="12">
        <f>MAX((Inputs!F$25*POWER(1+(Inputs!$C$3-(Inputs!$C$3*(('Steady State'!$A358-1)/Inputs!$C$4))),'Steady State'!$A358-1)),M357)</f>
        <v>48712.842776949758</v>
      </c>
      <c r="N358" s="12">
        <f>MAX((Inputs!G$25*POWER(1+(Inputs!$C$3-(Inputs!$C$3*(('Steady State'!$A358-1)/Inputs!$C$4))),'Steady State'!$A358-1)),N357)</f>
        <v>20876.932618692754</v>
      </c>
      <c r="O358" s="12">
        <v>0</v>
      </c>
      <c r="P358" s="12">
        <v>0</v>
      </c>
    </row>
    <row r="359" spans="1:16" x14ac:dyDescent="0.35">
      <c r="A359">
        <v>357</v>
      </c>
      <c r="C359" s="14">
        <f t="shared" si="21"/>
        <v>1038296.8023345981</v>
      </c>
      <c r="D359" s="14">
        <f t="shared" si="22"/>
        <v>880332.59651714773</v>
      </c>
      <c r="E359" s="14">
        <f t="shared" si="23"/>
        <v>47963.053335249118</v>
      </c>
      <c r="F359" s="14">
        <f t="shared" si="20"/>
        <v>69548.151825971756</v>
      </c>
      <c r="H359" s="14" cm="1">
        <f t="array" ref="H359:K359">MMULT($C358:$F358,P_Matrix)</f>
        <v>989583.9595576484</v>
      </c>
      <c r="I359" s="14">
        <v>859455.66389845498</v>
      </c>
      <c r="J359" s="14">
        <v>47963.053335249118</v>
      </c>
      <c r="K359" s="14">
        <v>139094.75459775259</v>
      </c>
      <c r="M359" s="12">
        <f>MAX((Inputs!F$25*POWER(1+(Inputs!$C$3-(Inputs!$C$3*(('Steady State'!$A359-1)/Inputs!$C$4))),'Steady State'!$A359-1)),M358)</f>
        <v>48712.842776949758</v>
      </c>
      <c r="N359" s="12">
        <f>MAX((Inputs!G$25*POWER(1+(Inputs!$C$3-(Inputs!$C$3*(('Steady State'!$A359-1)/Inputs!$C$4))),'Steady State'!$A359-1)),N358)</f>
        <v>20876.932618692754</v>
      </c>
      <c r="O359" s="12">
        <v>0</v>
      </c>
      <c r="P359" s="12">
        <v>0</v>
      </c>
    </row>
    <row r="360" spans="1:16" x14ac:dyDescent="0.35">
      <c r="A360">
        <v>358</v>
      </c>
      <c r="C360" s="14">
        <f t="shared" si="21"/>
        <v>1038311.4682701683</v>
      </c>
      <c r="D360" s="14">
        <f t="shared" si="22"/>
        <v>880356.98802343744</v>
      </c>
      <c r="E360" s="14">
        <f t="shared" si="23"/>
        <v>47964.125989666929</v>
      </c>
      <c r="F360" s="14">
        <f t="shared" si="20"/>
        <v>69549.645299364667</v>
      </c>
      <c r="H360" s="14" cm="1">
        <f t="array" ref="H360:K360">MMULT($C359:$F359,P_Matrix)</f>
        <v>989598.62549321854</v>
      </c>
      <c r="I360" s="14">
        <v>859480.05540474469</v>
      </c>
      <c r="J360" s="14">
        <v>47964.125989666929</v>
      </c>
      <c r="K360" s="14">
        <v>139097.79712533642</v>
      </c>
      <c r="M360" s="12">
        <f>MAX((Inputs!F$25*POWER(1+(Inputs!$C$3-(Inputs!$C$3*(('Steady State'!$A360-1)/Inputs!$C$4))),'Steady State'!$A360-1)),M359)</f>
        <v>48712.842776949758</v>
      </c>
      <c r="N360" s="12">
        <f>MAX((Inputs!G$25*POWER(1+(Inputs!$C$3-(Inputs!$C$3*(('Steady State'!$A360-1)/Inputs!$C$4))),'Steady State'!$A360-1)),N359)</f>
        <v>20876.932618692754</v>
      </c>
      <c r="O360" s="12">
        <v>0</v>
      </c>
      <c r="P360" s="12">
        <v>0</v>
      </c>
    </row>
    <row r="361" spans="1:16" x14ac:dyDescent="0.35">
      <c r="A361">
        <v>359</v>
      </c>
      <c r="C361" s="14">
        <f t="shared" si="21"/>
        <v>1038325.6054301091</v>
      </c>
      <c r="D361" s="14">
        <f t="shared" si="22"/>
        <v>880380.50690584502</v>
      </c>
      <c r="E361" s="14">
        <f t="shared" si="23"/>
        <v>47965.160156736216</v>
      </c>
      <c r="F361" s="14">
        <f t="shared" si="20"/>
        <v>69551.085186224896</v>
      </c>
      <c r="H361" s="14" cm="1">
        <f t="array" ref="H361:K361">MMULT($C360:$F360,P_Matrix)</f>
        <v>989612.76265315933</v>
      </c>
      <c r="I361" s="14">
        <v>859503.57428715227</v>
      </c>
      <c r="J361" s="14">
        <v>47965.160156736216</v>
      </c>
      <c r="K361" s="14">
        <v>139100.73048558956</v>
      </c>
      <c r="M361" s="12">
        <f>MAX((Inputs!F$25*POWER(1+(Inputs!$C$3-(Inputs!$C$3*(('Steady State'!$A361-1)/Inputs!$C$4))),'Steady State'!$A361-1)),M360)</f>
        <v>48712.842776949758</v>
      </c>
      <c r="N361" s="12">
        <f>MAX((Inputs!G$25*POWER(1+(Inputs!$C$3-(Inputs!$C$3*(('Steady State'!$A361-1)/Inputs!$C$4))),'Steady State'!$A361-1)),N360)</f>
        <v>20876.932618692754</v>
      </c>
      <c r="O361" s="12">
        <v>0</v>
      </c>
      <c r="P361" s="12">
        <v>0</v>
      </c>
    </row>
    <row r="362" spans="1:16" x14ac:dyDescent="0.35">
      <c r="A362">
        <v>360</v>
      </c>
      <c r="C362" s="14">
        <f t="shared" si="21"/>
        <v>1038339.2329659843</v>
      </c>
      <c r="D362" s="14">
        <f t="shared" si="22"/>
        <v>880403.18429568445</v>
      </c>
      <c r="E362" s="14">
        <f t="shared" si="23"/>
        <v>47966.157217401269</v>
      </c>
      <c r="F362" s="14">
        <f t="shared" si="20"/>
        <v>69552.47340926266</v>
      </c>
      <c r="H362" s="14" cm="1">
        <f t="array" ref="H362:K362">MMULT($C361:$F361,P_Matrix)</f>
        <v>989626.39018903452</v>
      </c>
      <c r="I362" s="14">
        <v>859526.2516769917</v>
      </c>
      <c r="J362" s="14">
        <v>47966.157217401269</v>
      </c>
      <c r="K362" s="14">
        <v>139103.55859548756</v>
      </c>
      <c r="M362" s="12">
        <f>MAX((Inputs!F$25*POWER(1+(Inputs!$C$3-(Inputs!$C$3*(('Steady State'!$A362-1)/Inputs!$C$4))),'Steady State'!$A362-1)),M361)</f>
        <v>48712.842776949758</v>
      </c>
      <c r="N362" s="12">
        <f>MAX((Inputs!G$25*POWER(1+(Inputs!$C$3-(Inputs!$C$3*(('Steady State'!$A362-1)/Inputs!$C$4))),'Steady State'!$A362-1)),N361)</f>
        <v>20876.932618692754</v>
      </c>
      <c r="O362" s="12">
        <v>0</v>
      </c>
      <c r="P362" s="12">
        <v>0</v>
      </c>
    </row>
    <row r="363" spans="1:16" x14ac:dyDescent="0.35">
      <c r="A363">
        <v>361</v>
      </c>
      <c r="C363" s="14">
        <f t="shared" si="21"/>
        <v>1038352.369329672</v>
      </c>
      <c r="D363" s="14">
        <f t="shared" si="22"/>
        <v>880425.05021978263</v>
      </c>
      <c r="E363" s="14">
        <f t="shared" si="23"/>
        <v>47967.118503057449</v>
      </c>
      <c r="F363" s="14">
        <f t="shared" si="20"/>
        <v>69553.811822200369</v>
      </c>
      <c r="H363" s="14" cm="1">
        <f t="array" ref="H363:K363">MMULT($C362:$F362,P_Matrix)</f>
        <v>989639.52655272221</v>
      </c>
      <c r="I363" s="14">
        <v>859548.11760108988</v>
      </c>
      <c r="J363" s="14">
        <v>47967.118503057449</v>
      </c>
      <c r="K363" s="14">
        <v>139106.28523146303</v>
      </c>
      <c r="M363" s="12">
        <f>MAX((Inputs!F$25*POWER(1+(Inputs!$C$3-(Inputs!$C$3*(('Steady State'!$A363-1)/Inputs!$C$4))),'Steady State'!$A363-1)),M362)</f>
        <v>48712.842776949758</v>
      </c>
      <c r="N363" s="12">
        <f>MAX((Inputs!G$25*POWER(1+(Inputs!$C$3-(Inputs!$C$3*(('Steady State'!$A363-1)/Inputs!$C$4))),'Steady State'!$A363-1)),N362)</f>
        <v>20876.932618692754</v>
      </c>
      <c r="O363" s="12">
        <v>0</v>
      </c>
      <c r="P363" s="12">
        <v>0</v>
      </c>
    </row>
    <row r="364" spans="1:16" x14ac:dyDescent="0.35">
      <c r="A364">
        <v>362</v>
      </c>
      <c r="C364" s="14">
        <f t="shared" si="21"/>
        <v>1038365.0322993449</v>
      </c>
      <c r="D364" s="14">
        <f t="shared" si="22"/>
        <v>880446.13363923249</v>
      </c>
      <c r="E364" s="14">
        <f t="shared" si="23"/>
        <v>47968.045297329008</v>
      </c>
      <c r="F364" s="14">
        <f t="shared" si="20"/>
        <v>69555.102212247992</v>
      </c>
      <c r="H364" s="14" cm="1">
        <f t="array" ref="H364:K364">MMULT($C363:$F363,P_Matrix)</f>
        <v>989652.18952239514</v>
      </c>
      <c r="I364" s="14">
        <v>859569.20102053974</v>
      </c>
      <c r="J364" s="14">
        <v>47968.045297329008</v>
      </c>
      <c r="K364" s="14">
        <v>139108.91403444836</v>
      </c>
      <c r="M364" s="12">
        <f>MAX((Inputs!F$25*POWER(1+(Inputs!$C$3-(Inputs!$C$3*(('Steady State'!$A364-1)/Inputs!$C$4))),'Steady State'!$A364-1)),M363)</f>
        <v>48712.842776949758</v>
      </c>
      <c r="N364" s="12">
        <f>MAX((Inputs!G$25*POWER(1+(Inputs!$C$3-(Inputs!$C$3*(('Steady State'!$A364-1)/Inputs!$C$4))),'Steady State'!$A364-1)),N363)</f>
        <v>20876.932618692754</v>
      </c>
      <c r="O364" s="12">
        <v>0</v>
      </c>
      <c r="P364" s="12">
        <v>0</v>
      </c>
    </row>
    <row r="365" spans="1:16" x14ac:dyDescent="0.35">
      <c r="A365">
        <v>363</v>
      </c>
      <c r="C365" s="14">
        <f t="shared" si="21"/>
        <v>1038377.2390044591</v>
      </c>
      <c r="D365" s="14">
        <f t="shared" si="22"/>
        <v>880466.46248681692</v>
      </c>
      <c r="E365" s="14">
        <f t="shared" si="23"/>
        <v>47968.938837783178</v>
      </c>
      <c r="F365" s="14">
        <f t="shared" si="20"/>
        <v>69556.346302489575</v>
      </c>
      <c r="H365" s="14" cm="1">
        <f t="array" ref="H365:K365">MMULT($C364:$F364,P_Matrix)</f>
        <v>989664.39622750937</v>
      </c>
      <c r="I365" s="14">
        <v>859589.52986812417</v>
      </c>
      <c r="J365" s="14">
        <v>47968.938837783178</v>
      </c>
      <c r="K365" s="14">
        <v>139111.44851473757</v>
      </c>
      <c r="M365" s="12">
        <f>MAX((Inputs!F$25*POWER(1+(Inputs!$C$3-(Inputs!$C$3*(('Steady State'!$A365-1)/Inputs!$C$4))),'Steady State'!$A365-1)),M364)</f>
        <v>48712.842776949758</v>
      </c>
      <c r="N365" s="12">
        <f>MAX((Inputs!G$25*POWER(1+(Inputs!$C$3-(Inputs!$C$3*(('Steady State'!$A365-1)/Inputs!$C$4))),'Steady State'!$A365-1)),N364)</f>
        <v>20876.932618692754</v>
      </c>
      <c r="O365" s="12">
        <v>0</v>
      </c>
      <c r="P365" s="12">
        <v>0</v>
      </c>
    </row>
    <row r="366" spans="1:16" x14ac:dyDescent="0.35">
      <c r="A366">
        <v>364</v>
      </c>
      <c r="C366" s="14">
        <f t="shared" si="21"/>
        <v>1038389.0059497878</v>
      </c>
      <c r="D366" s="14">
        <f t="shared" si="22"/>
        <v>880486.06370314711</v>
      </c>
      <c r="E366" s="14">
        <f t="shared" si="23"/>
        <v>47969.800317582667</v>
      </c>
      <c r="F366" s="14">
        <f t="shared" si="20"/>
        <v>69557.545754184073</v>
      </c>
      <c r="H366" s="14" cm="1">
        <f t="array" ref="H366:K366">MMULT($C365:$F365,P_Matrix)</f>
        <v>989676.16317283805</v>
      </c>
      <c r="I366" s="14">
        <v>859609.13108445436</v>
      </c>
      <c r="J366" s="14">
        <v>47969.800317582667</v>
      </c>
      <c r="K366" s="14">
        <v>139113.89205667365</v>
      </c>
      <c r="M366" s="12">
        <f>MAX((Inputs!F$25*POWER(1+(Inputs!$C$3-(Inputs!$C$3*(('Steady State'!$A366-1)/Inputs!$C$4))),'Steady State'!$A366-1)),M365)</f>
        <v>48712.842776949758</v>
      </c>
      <c r="N366" s="12">
        <f>MAX((Inputs!G$25*POWER(1+(Inputs!$C$3-(Inputs!$C$3*(('Steady State'!$A366-1)/Inputs!$C$4))),'Steady State'!$A366-1)),N365)</f>
        <v>20876.932618692754</v>
      </c>
      <c r="O366" s="12">
        <v>0</v>
      </c>
      <c r="P366" s="12">
        <v>0</v>
      </c>
    </row>
    <row r="367" spans="1:16" x14ac:dyDescent="0.35">
      <c r="A367">
        <v>365</v>
      </c>
      <c r="C367" s="14">
        <f t="shared" si="21"/>
        <v>1038400.34903854</v>
      </c>
      <c r="D367" s="14">
        <f t="shared" si="22"/>
        <v>880504.96327155747</v>
      </c>
      <c r="E367" s="14">
        <f t="shared" si="23"/>
        <v>47970.630887078951</v>
      </c>
      <c r="F367" s="14">
        <f t="shared" si="20"/>
        <v>69558.702168983698</v>
      </c>
      <c r="H367" s="14" cm="1">
        <f t="array" ref="H367:K367">MMULT($C366:$F366,P_Matrix)</f>
        <v>989687.50626159029</v>
      </c>
      <c r="I367" s="14">
        <v>859628.03065286472</v>
      </c>
      <c r="J367" s="14">
        <v>47970.630887078951</v>
      </c>
      <c r="K367" s="14">
        <v>139116.24792316777</v>
      </c>
      <c r="M367" s="12">
        <f>MAX((Inputs!F$25*POWER(1+(Inputs!$C$3-(Inputs!$C$3*(('Steady State'!$A367-1)/Inputs!$C$4))),'Steady State'!$A367-1)),M366)</f>
        <v>48712.842776949758</v>
      </c>
      <c r="N367" s="12">
        <f>MAX((Inputs!G$25*POWER(1+(Inputs!$C$3-(Inputs!$C$3*(('Steady State'!$A367-1)/Inputs!$C$4))),'Steady State'!$A367-1)),N366)</f>
        <v>20876.932618692754</v>
      </c>
      <c r="O367" s="12">
        <v>0</v>
      </c>
      <c r="P367" s="12">
        <v>0</v>
      </c>
    </row>
    <row r="368" spans="1:16" x14ac:dyDescent="0.35">
      <c r="A368">
        <v>366</v>
      </c>
      <c r="C368" s="14">
        <f t="shared" si="21"/>
        <v>1038411.2835946007</v>
      </c>
      <c r="D368" s="14">
        <f t="shared" si="22"/>
        <v>880523.18625179713</v>
      </c>
      <c r="E368" s="14">
        <f t="shared" si="23"/>
        <v>47971.431655348344</v>
      </c>
      <c r="F368" s="14">
        <f t="shared" si="20"/>
        <v>69559.817091072677</v>
      </c>
      <c r="H368" s="14" cm="1">
        <f t="array" ref="H368:K368">MMULT($C367:$F367,P_Matrix)</f>
        <v>989698.44081765099</v>
      </c>
      <c r="I368" s="14">
        <v>859646.25363310438</v>
      </c>
      <c r="J368" s="14">
        <v>47971.431655348344</v>
      </c>
      <c r="K368" s="14">
        <v>139118.51926005638</v>
      </c>
      <c r="M368" s="12">
        <f>MAX((Inputs!F$25*POWER(1+(Inputs!$C$3-(Inputs!$C$3*(('Steady State'!$A368-1)/Inputs!$C$4))),'Steady State'!$A368-1)),M367)</f>
        <v>48712.842776949758</v>
      </c>
      <c r="N368" s="12">
        <f>MAX((Inputs!G$25*POWER(1+(Inputs!$C$3-(Inputs!$C$3*(('Steady State'!$A368-1)/Inputs!$C$4))),'Steady State'!$A368-1)),N367)</f>
        <v>20876.932618692754</v>
      </c>
      <c r="O368" s="12">
        <v>0</v>
      </c>
      <c r="P368" s="12">
        <v>0</v>
      </c>
    </row>
    <row r="369" spans="1:16" x14ac:dyDescent="0.35">
      <c r="A369">
        <v>367</v>
      </c>
      <c r="C369" s="14">
        <f t="shared" si="21"/>
        <v>1038421.8243839273</v>
      </c>
      <c r="D369" s="14">
        <f t="shared" si="22"/>
        <v>880540.75681255944</v>
      </c>
      <c r="E369" s="14">
        <f t="shared" si="23"/>
        <v>47972.203691672985</v>
      </c>
      <c r="F369" s="14">
        <f t="shared" si="20"/>
        <v>69560.892009229021</v>
      </c>
      <c r="H369" s="14" cm="1">
        <f t="array" ref="H369:K369">MMULT($C368:$F368,P_Matrix)</f>
        <v>989708.98160697753</v>
      </c>
      <c r="I369" s="14">
        <v>859663.82419386669</v>
      </c>
      <c r="J369" s="14">
        <v>47972.203691672985</v>
      </c>
      <c r="K369" s="14">
        <v>139120.7091003017</v>
      </c>
      <c r="M369" s="12">
        <f>MAX((Inputs!F$25*POWER(1+(Inputs!$C$3-(Inputs!$C$3*(('Steady State'!$A369-1)/Inputs!$C$4))),'Steady State'!$A369-1)),M368)</f>
        <v>48712.842776949758</v>
      </c>
      <c r="N369" s="12">
        <f>MAX((Inputs!G$25*POWER(1+(Inputs!$C$3-(Inputs!$C$3*(('Steady State'!$A369-1)/Inputs!$C$4))),'Steady State'!$A369-1)),N368)</f>
        <v>20876.932618692754</v>
      </c>
      <c r="O369" s="12">
        <v>0</v>
      </c>
      <c r="P369" s="12">
        <v>0</v>
      </c>
    </row>
    <row r="370" spans="1:16" x14ac:dyDescent="0.35">
      <c r="A370">
        <v>368</v>
      </c>
      <c r="C370" s="14">
        <f t="shared" si="21"/>
        <v>1038431.9856351343</v>
      </c>
      <c r="D370" s="14">
        <f t="shared" si="22"/>
        <v>880557.69826288638</v>
      </c>
      <c r="E370" s="14">
        <f t="shared" si="23"/>
        <v>47972.948026968661</v>
      </c>
      <c r="F370" s="14">
        <f t="shared" si="20"/>
        <v>69561.928358812846</v>
      </c>
      <c r="H370" s="14" cm="1">
        <f t="array" ref="H370:K370">MMULT($C369:$F369,P_Matrix)</f>
        <v>989719.14285818452</v>
      </c>
      <c r="I370" s="14">
        <v>859680.76564419363</v>
      </c>
      <c r="J370" s="14">
        <v>47972.948026968661</v>
      </c>
      <c r="K370" s="14">
        <v>139122.82036804187</v>
      </c>
      <c r="M370" s="12">
        <f>MAX((Inputs!F$25*POWER(1+(Inputs!$C$3-(Inputs!$C$3*(('Steady State'!$A370-1)/Inputs!$C$4))),'Steady State'!$A370-1)),M369)</f>
        <v>48712.842776949758</v>
      </c>
      <c r="N370" s="12">
        <f>MAX((Inputs!G$25*POWER(1+(Inputs!$C$3-(Inputs!$C$3*(('Steady State'!$A370-1)/Inputs!$C$4))),'Steady State'!$A370-1)),N369)</f>
        <v>20876.932618692754</v>
      </c>
      <c r="O370" s="12">
        <v>0</v>
      </c>
      <c r="P370" s="12">
        <v>0</v>
      </c>
    </row>
    <row r="371" spans="1:16" x14ac:dyDescent="0.35">
      <c r="A371">
        <v>369</v>
      </c>
      <c r="C371" s="14">
        <f t="shared" si="21"/>
        <v>1038441.7810593017</v>
      </c>
      <c r="D371" s="14">
        <f t="shared" si="22"/>
        <v>880574.0330824859</v>
      </c>
      <c r="E371" s="14">
        <f t="shared" si="23"/>
        <v>47973.6656551614</v>
      </c>
      <c r="F371" s="14">
        <f t="shared" si="20"/>
        <v>69562.927523682796</v>
      </c>
      <c r="H371" s="14" cm="1">
        <f t="array" ref="H371:K371">MMULT($C370:$F370,P_Matrix)</f>
        <v>989728.93828235194</v>
      </c>
      <c r="I371" s="14">
        <v>859697.10046379315</v>
      </c>
      <c r="J371" s="14">
        <v>47973.6656551614</v>
      </c>
      <c r="K371" s="14">
        <v>139124.85588249564</v>
      </c>
      <c r="M371" s="12">
        <f>MAX((Inputs!F$25*POWER(1+(Inputs!$C$3-(Inputs!$C$3*(('Steady State'!$A371-1)/Inputs!$C$4))),'Steady State'!$A371-1)),M370)</f>
        <v>48712.842776949758</v>
      </c>
      <c r="N371" s="12">
        <f>MAX((Inputs!G$25*POWER(1+(Inputs!$C$3-(Inputs!$C$3*(('Steady State'!$A371-1)/Inputs!$C$4))),'Steady State'!$A371-1)),N370)</f>
        <v>20876.932618692754</v>
      </c>
      <c r="O371" s="12">
        <v>0</v>
      </c>
      <c r="P371" s="12">
        <v>0</v>
      </c>
    </row>
    <row r="372" spans="1:16" x14ac:dyDescent="0.35">
      <c r="A372">
        <v>370</v>
      </c>
      <c r="C372" s="14">
        <f t="shared" si="21"/>
        <v>1038451.2238690342</v>
      </c>
      <c r="D372" s="14">
        <f t="shared" si="22"/>
        <v>880589.78295099852</v>
      </c>
      <c r="E372" s="14">
        <f t="shared" si="23"/>
        <v>47974.357534514711</v>
      </c>
      <c r="F372" s="14">
        <f t="shared" si="20"/>
        <v>69563.890838043968</v>
      </c>
      <c r="H372" s="14" cm="1">
        <f t="array" ref="H372:K372">MMULT($C371:$F371,P_Matrix)</f>
        <v>989738.38109208446</v>
      </c>
      <c r="I372" s="14">
        <v>859712.85033230577</v>
      </c>
      <c r="J372" s="14">
        <v>47974.357534514711</v>
      </c>
      <c r="K372" s="14">
        <v>139126.81836172676</v>
      </c>
      <c r="M372" s="12">
        <f>MAX((Inputs!F$25*POWER(1+(Inputs!$C$3-(Inputs!$C$3*(('Steady State'!$A372-1)/Inputs!$C$4))),'Steady State'!$A372-1)),M371)</f>
        <v>48712.842776949758</v>
      </c>
      <c r="N372" s="12">
        <f>MAX((Inputs!G$25*POWER(1+(Inputs!$C$3-(Inputs!$C$3*(('Steady State'!$A372-1)/Inputs!$C$4))),'Steady State'!$A372-1)),N371)</f>
        <v>20876.932618692754</v>
      </c>
      <c r="O372" s="12">
        <v>0</v>
      </c>
      <c r="P372" s="12">
        <v>0</v>
      </c>
    </row>
    <row r="373" spans="1:16" x14ac:dyDescent="0.35">
      <c r="A373">
        <v>371</v>
      </c>
      <c r="C373" s="14">
        <f t="shared" si="21"/>
        <v>1038460.3267968033</v>
      </c>
      <c r="D373" s="14">
        <f t="shared" si="22"/>
        <v>880604.9687762477</v>
      </c>
      <c r="E373" s="14">
        <f t="shared" si="23"/>
        <v>47975.024588909153</v>
      </c>
      <c r="F373" s="14">
        <f t="shared" si="20"/>
        <v>69564.819588229671</v>
      </c>
      <c r="H373" s="14" cm="1">
        <f t="array" ref="H373:K373">MMULT($C372:$F372,P_Matrix)</f>
        <v>989747.48401985352</v>
      </c>
      <c r="I373" s="14">
        <v>859728.03615755495</v>
      </c>
      <c r="J373" s="14">
        <v>47975.024588909153</v>
      </c>
      <c r="K373" s="14">
        <v>139128.71042627364</v>
      </c>
      <c r="M373" s="12">
        <f>MAX((Inputs!F$25*POWER(1+(Inputs!$C$3-(Inputs!$C$3*(('Steady State'!$A373-1)/Inputs!$C$4))),'Steady State'!$A373-1)),M372)</f>
        <v>48712.842776949758</v>
      </c>
      <c r="N373" s="12">
        <f>MAX((Inputs!G$25*POWER(1+(Inputs!$C$3-(Inputs!$C$3*(('Steady State'!$A373-1)/Inputs!$C$4))),'Steady State'!$A373-1)),N372)</f>
        <v>20876.932618692754</v>
      </c>
      <c r="O373" s="12">
        <v>0</v>
      </c>
      <c r="P373" s="12">
        <v>0</v>
      </c>
    </row>
    <row r="374" spans="1:16" x14ac:dyDescent="0.35">
      <c r="A374">
        <v>372</v>
      </c>
      <c r="C374" s="14">
        <f t="shared" si="21"/>
        <v>1038469.1021125981</v>
      </c>
      <c r="D374" s="14">
        <f t="shared" si="22"/>
        <v>880619.61072150955</v>
      </c>
      <c r="E374" s="14">
        <f t="shared" si="23"/>
        <v>47975.667709076006</v>
      </c>
      <c r="F374" s="14">
        <f t="shared" si="20"/>
        <v>69565.71501441882</v>
      </c>
      <c r="H374" s="14" cm="1">
        <f t="array" ref="H374:K374">MMULT($C373:$F373,P_Matrix)</f>
        <v>989756.25933564838</v>
      </c>
      <c r="I374" s="14">
        <v>859742.6781028168</v>
      </c>
      <c r="J374" s="14">
        <v>47975.667709076006</v>
      </c>
      <c r="K374" s="14">
        <v>139130.53460264849</v>
      </c>
      <c r="M374" s="12">
        <f>MAX((Inputs!F$25*POWER(1+(Inputs!$C$3-(Inputs!$C$3*(('Steady State'!$A374-1)/Inputs!$C$4))),'Steady State'!$A374-1)),M373)</f>
        <v>48712.842776949758</v>
      </c>
      <c r="N374" s="12">
        <f>MAX((Inputs!G$25*POWER(1+(Inputs!$C$3-(Inputs!$C$3*(('Steady State'!$A374-1)/Inputs!$C$4))),'Steady State'!$A374-1)),N373)</f>
        <v>20876.932618692754</v>
      </c>
      <c r="O374" s="12">
        <v>0</v>
      </c>
      <c r="P374" s="12">
        <v>0</v>
      </c>
    </row>
    <row r="375" spans="1:16" x14ac:dyDescent="0.35">
      <c r="A375">
        <v>373</v>
      </c>
      <c r="C375" s="14">
        <f t="shared" si="21"/>
        <v>1038477.5616409146</v>
      </c>
      <c r="D375" s="14">
        <f t="shared" si="22"/>
        <v>880633.7282318325</v>
      </c>
      <c r="E375" s="14">
        <f t="shared" si="23"/>
        <v>47976.287753786681</v>
      </c>
      <c r="F375" s="14">
        <f t="shared" si="20"/>
        <v>69566.578312292229</v>
      </c>
      <c r="H375" s="14" cm="1">
        <f t="array" ref="H375:K375">MMULT($C374:$F374,P_Matrix)</f>
        <v>989764.7188639649</v>
      </c>
      <c r="I375" s="14">
        <v>859756.79561313975</v>
      </c>
      <c r="J375" s="14">
        <v>47976.287753786681</v>
      </c>
      <c r="K375" s="14">
        <v>139132.29332671105</v>
      </c>
      <c r="M375" s="12">
        <f>MAX((Inputs!F$25*POWER(1+(Inputs!$C$3-(Inputs!$C$3*(('Steady State'!$A375-1)/Inputs!$C$4))),'Steady State'!$A375-1)),M374)</f>
        <v>48712.842776949758</v>
      </c>
      <c r="N375" s="12">
        <f>MAX((Inputs!G$25*POWER(1+(Inputs!$C$3-(Inputs!$C$3*(('Steady State'!$A375-1)/Inputs!$C$4))),'Steady State'!$A375-1)),N374)</f>
        <v>20876.932618692754</v>
      </c>
      <c r="O375" s="12">
        <v>0</v>
      </c>
      <c r="P375" s="12">
        <v>0</v>
      </c>
    </row>
    <row r="376" spans="1:16" x14ac:dyDescent="0.35">
      <c r="A376">
        <v>374</v>
      </c>
      <c r="C376" s="14">
        <f t="shared" si="21"/>
        <v>1038485.7167771064</v>
      </c>
      <c r="D376" s="14">
        <f t="shared" si="22"/>
        <v>880647.34005944117</v>
      </c>
      <c r="E376" s="14">
        <f t="shared" si="23"/>
        <v>47976.885550999476</v>
      </c>
      <c r="F376" s="14">
        <f t="shared" si="20"/>
        <v>69567.410634629079</v>
      </c>
      <c r="H376" s="14" cm="1">
        <f t="array" ref="H376:K376">MMULT($C375:$F375,P_Matrix)</f>
        <v>989772.87400015665</v>
      </c>
      <c r="I376" s="14">
        <v>859770.40744074841</v>
      </c>
      <c r="J376" s="14">
        <v>47976.885550999476</v>
      </c>
      <c r="K376" s="14">
        <v>139133.98894692131</v>
      </c>
      <c r="M376" s="12">
        <f>MAX((Inputs!F$25*POWER(1+(Inputs!$C$3-(Inputs!$C$3*(('Steady State'!$A376-1)/Inputs!$C$4))),'Steady State'!$A376-1)),M375)</f>
        <v>48712.842776949758</v>
      </c>
      <c r="N376" s="12">
        <f>MAX((Inputs!G$25*POWER(1+(Inputs!$C$3-(Inputs!$C$3*(('Steady State'!$A376-1)/Inputs!$C$4))),'Steady State'!$A376-1)),N375)</f>
        <v>20876.932618692754</v>
      </c>
      <c r="O376" s="12">
        <v>0</v>
      </c>
      <c r="P376" s="12">
        <v>0</v>
      </c>
    </row>
    <row r="377" spans="1:16" x14ac:dyDescent="0.35">
      <c r="A377">
        <v>375</v>
      </c>
      <c r="C377" s="14">
        <f t="shared" si="21"/>
        <v>1038493.5785031242</v>
      </c>
      <c r="D377" s="14">
        <f t="shared" si="22"/>
        <v>880660.46428825404</v>
      </c>
      <c r="E377" s="14">
        <f t="shared" si="23"/>
        <v>47977.461898965164</v>
      </c>
      <c r="F377" s="14">
        <f t="shared" si="20"/>
        <v>69568.213092846272</v>
      </c>
      <c r="H377" s="14" cm="1">
        <f t="array" ref="H377:K377">MMULT($C376:$F376,P_Matrix)</f>
        <v>989780.73572617443</v>
      </c>
      <c r="I377" s="14">
        <v>859783.53166956129</v>
      </c>
      <c r="J377" s="14">
        <v>47977.461898965164</v>
      </c>
      <c r="K377" s="14">
        <v>139135.62372747535</v>
      </c>
      <c r="M377" s="12">
        <f>MAX((Inputs!F$25*POWER(1+(Inputs!$C$3-(Inputs!$C$3*(('Steady State'!$A377-1)/Inputs!$C$4))),'Steady State'!$A377-1)),M376)</f>
        <v>48712.842776949758</v>
      </c>
      <c r="N377" s="12">
        <f>MAX((Inputs!G$25*POWER(1+(Inputs!$C$3-(Inputs!$C$3*(('Steady State'!$A377-1)/Inputs!$C$4))),'Steady State'!$A377-1)),N376)</f>
        <v>20876.932618692754</v>
      </c>
      <c r="O377" s="12">
        <v>0</v>
      </c>
      <c r="P377" s="12">
        <v>0</v>
      </c>
    </row>
    <row r="378" spans="1:16" x14ac:dyDescent="0.35">
      <c r="A378">
        <v>376</v>
      </c>
      <c r="C378" s="14">
        <f t="shared" si="21"/>
        <v>1038501.1574026655</v>
      </c>
      <c r="D378" s="14">
        <f t="shared" si="22"/>
        <v>880673.11835754476</v>
      </c>
      <c r="E378" s="14">
        <f t="shared" si="23"/>
        <v>47978.017567292882</v>
      </c>
      <c r="F378" s="14">
        <f t="shared" si="20"/>
        <v>69568.986758482642</v>
      </c>
      <c r="H378" s="14" cm="1">
        <f t="array" ref="H378:K378">MMULT($C377:$F377,P_Matrix)</f>
        <v>989788.31462571572</v>
      </c>
      <c r="I378" s="14">
        <v>859796.18573885201</v>
      </c>
      <c r="J378" s="14">
        <v>47978.017567292882</v>
      </c>
      <c r="K378" s="14">
        <v>139137.19985132891</v>
      </c>
      <c r="M378" s="12">
        <f>MAX((Inputs!F$25*POWER(1+(Inputs!$C$3-(Inputs!$C$3*(('Steady State'!$A378-1)/Inputs!$C$4))),'Steady State'!$A378-1)),M377)</f>
        <v>48712.842776949758</v>
      </c>
      <c r="N378" s="12">
        <f>MAX((Inputs!G$25*POWER(1+(Inputs!$C$3-(Inputs!$C$3*(('Steady State'!$A378-1)/Inputs!$C$4))),'Steady State'!$A378-1)),N377)</f>
        <v>20876.932618692754</v>
      </c>
      <c r="O378" s="12">
        <v>0</v>
      </c>
      <c r="P378" s="12">
        <v>0</v>
      </c>
    </row>
    <row r="379" spans="1:16" x14ac:dyDescent="0.35">
      <c r="A379">
        <v>377</v>
      </c>
      <c r="C379" s="14">
        <f t="shared" si="21"/>
        <v>1038508.46367576</v>
      </c>
      <c r="D379" s="14">
        <f t="shared" si="22"/>
        <v>880685.3190847782</v>
      </c>
      <c r="E379" s="14">
        <f t="shared" si="23"/>
        <v>47978.553297977836</v>
      </c>
      <c r="F379" s="14">
        <f t="shared" si="20"/>
        <v>69569.732664629526</v>
      </c>
      <c r="H379" s="14" cm="1">
        <f t="array" ref="H379:K379">MMULT($C378:$F378,P_Matrix)</f>
        <v>989795.62089881022</v>
      </c>
      <c r="I379" s="14">
        <v>859808.38646608545</v>
      </c>
      <c r="J379" s="14">
        <v>47978.553297977836</v>
      </c>
      <c r="K379" s="14">
        <v>139138.71942311217</v>
      </c>
      <c r="M379" s="12">
        <f>MAX((Inputs!F$25*POWER(1+(Inputs!$C$3-(Inputs!$C$3*(('Steady State'!$A379-1)/Inputs!$C$4))),'Steady State'!$A379-1)),M378)</f>
        <v>48712.842776949758</v>
      </c>
      <c r="N379" s="12">
        <f>MAX((Inputs!G$25*POWER(1+(Inputs!$C$3-(Inputs!$C$3*(('Steady State'!$A379-1)/Inputs!$C$4))),'Steady State'!$A379-1)),N378)</f>
        <v>20876.932618692754</v>
      </c>
      <c r="O379" s="12">
        <v>0</v>
      </c>
      <c r="P379" s="12">
        <v>0</v>
      </c>
    </row>
    <row r="380" spans="1:16" x14ac:dyDescent="0.35">
      <c r="A380">
        <v>378</v>
      </c>
      <c r="C380" s="14">
        <f t="shared" si="21"/>
        <v>1038515.5071528096</v>
      </c>
      <c r="D380" s="14">
        <f t="shared" si="22"/>
        <v>880697.08268764615</v>
      </c>
      <c r="E380" s="14">
        <f t="shared" si="23"/>
        <v>47979.069806392086</v>
      </c>
      <c r="F380" s="14">
        <f t="shared" si="20"/>
        <v>69570.451807310601</v>
      </c>
      <c r="H380" s="14" cm="1">
        <f t="array" ref="H380:K380">MMULT($C379:$F379,P_Matrix)</f>
        <v>989802.66437585989</v>
      </c>
      <c r="I380" s="14">
        <v>859820.1500689534</v>
      </c>
      <c r="J380" s="14">
        <v>47979.069806392086</v>
      </c>
      <c r="K380" s="14">
        <v>139140.18447194013</v>
      </c>
      <c r="M380" s="12">
        <f>MAX((Inputs!F$25*POWER(1+(Inputs!$C$3-(Inputs!$C$3*(('Steady State'!$A380-1)/Inputs!$C$4))),'Steady State'!$A380-1)),M379)</f>
        <v>48712.842776949758</v>
      </c>
      <c r="N380" s="12">
        <f>MAX((Inputs!G$25*POWER(1+(Inputs!$C$3-(Inputs!$C$3*(('Steady State'!$A380-1)/Inputs!$C$4))),'Steady State'!$A380-1)),N379)</f>
        <v>20876.932618692754</v>
      </c>
      <c r="O380" s="12">
        <v>0</v>
      </c>
      <c r="P380" s="12">
        <v>0</v>
      </c>
    </row>
    <row r="381" spans="1:16" x14ac:dyDescent="0.35">
      <c r="A381">
        <v>379</v>
      </c>
      <c r="C381" s="14">
        <f t="shared" si="21"/>
        <v>1038522.2973081064</v>
      </c>
      <c r="D381" s="14">
        <f t="shared" si="22"/>
        <v>880708.42480533244</v>
      </c>
      <c r="E381" s="14">
        <f t="shared" si="23"/>
        <v>47979.567782239814</v>
      </c>
      <c r="F381" s="14">
        <f t="shared" si="20"/>
        <v>69571.145146811701</v>
      </c>
      <c r="H381" s="14" cm="1">
        <f t="array" ref="H381:K381">MMULT($C380:$F380,P_Matrix)</f>
        <v>989809.45453115669</v>
      </c>
      <c r="I381" s="14">
        <v>859831.49218663969</v>
      </c>
      <c r="J381" s="14">
        <v>47979.567782239814</v>
      </c>
      <c r="K381" s="14">
        <v>139141.5969541223</v>
      </c>
      <c r="M381" s="12">
        <f>MAX((Inputs!F$25*POWER(1+(Inputs!$C$3-(Inputs!$C$3*(('Steady State'!$A381-1)/Inputs!$C$4))),'Steady State'!$A381-1)),M380)</f>
        <v>48712.842776949758</v>
      </c>
      <c r="N381" s="12">
        <f>MAX((Inputs!G$25*POWER(1+(Inputs!$C$3-(Inputs!$C$3*(('Steady State'!$A381-1)/Inputs!$C$4))),'Steady State'!$A381-1)),N380)</f>
        <v>20876.932618692754</v>
      </c>
      <c r="O381" s="12">
        <v>0</v>
      </c>
      <c r="P381" s="12">
        <v>0</v>
      </c>
    </row>
    <row r="382" spans="1:16" x14ac:dyDescent="0.35">
      <c r="A382">
        <v>380</v>
      </c>
      <c r="C382" s="14">
        <f t="shared" si="21"/>
        <v>1038528.8432728471</v>
      </c>
      <c r="D382" s="14">
        <f t="shared" si="22"/>
        <v>880719.36051903269</v>
      </c>
      <c r="E382" s="14">
        <f t="shared" si="23"/>
        <v>47980.047890478279</v>
      </c>
      <c r="F382" s="14">
        <f t="shared" si="20"/>
        <v>69571.81360896313</v>
      </c>
      <c r="H382" s="14" cm="1">
        <f t="array" ref="H382:K382">MMULT($C381:$F381,P_Matrix)</f>
        <v>989816.00049589737</v>
      </c>
      <c r="I382" s="14">
        <v>859842.42790033994</v>
      </c>
      <c r="J382" s="14">
        <v>47980.047890478279</v>
      </c>
      <c r="K382" s="14">
        <v>139142.95875577483</v>
      </c>
      <c r="M382" s="12">
        <f>MAX((Inputs!F$25*POWER(1+(Inputs!$C$3-(Inputs!$C$3*(('Steady State'!$A382-1)/Inputs!$C$4))),'Steady State'!$A382-1)),M381)</f>
        <v>48712.842776949758</v>
      </c>
      <c r="N382" s="12">
        <f>MAX((Inputs!G$25*POWER(1+(Inputs!$C$3-(Inputs!$C$3*(('Steady State'!$A382-1)/Inputs!$C$4))),'Steady State'!$A382-1)),N381)</f>
        <v>20876.932618692754</v>
      </c>
      <c r="O382" s="12">
        <v>0</v>
      </c>
      <c r="P382" s="12">
        <v>0</v>
      </c>
    </row>
    <row r="383" spans="1:16" x14ac:dyDescent="0.35">
      <c r="A383">
        <v>381</v>
      </c>
      <c r="C383" s="14">
        <f t="shared" si="21"/>
        <v>1038535.1538476642</v>
      </c>
      <c r="D383" s="14">
        <f t="shared" si="22"/>
        <v>880729.90437175473</v>
      </c>
      <c r="E383" s="14">
        <f t="shared" si="23"/>
        <v>47980.510772205766</v>
      </c>
      <c r="F383" s="14">
        <f t="shared" si="20"/>
        <v>69572.458086375962</v>
      </c>
      <c r="H383" s="14" cm="1">
        <f t="array" ref="H383:K383">MMULT($C382:$F382,P_Matrix)</f>
        <v>989822.3110707145</v>
      </c>
      <c r="I383" s="14">
        <v>859852.97175306198</v>
      </c>
      <c r="J383" s="14">
        <v>47980.510772205766</v>
      </c>
      <c r="K383" s="14">
        <v>139144.27169533909</v>
      </c>
      <c r="M383" s="12">
        <f>MAX((Inputs!F$25*POWER(1+(Inputs!$C$3-(Inputs!$C$3*(('Steady State'!$A383-1)/Inputs!$C$4))),'Steady State'!$A383-1)),M382)</f>
        <v>48712.842776949758</v>
      </c>
      <c r="N383" s="12">
        <f>MAX((Inputs!G$25*POWER(1+(Inputs!$C$3-(Inputs!$C$3*(('Steady State'!$A383-1)/Inputs!$C$4))),'Steady State'!$A383-1)),N382)</f>
        <v>20876.932618692754</v>
      </c>
      <c r="O383" s="12">
        <v>0</v>
      </c>
      <c r="P383" s="12">
        <v>0</v>
      </c>
    </row>
    <row r="384" spans="1:16" x14ac:dyDescent="0.35">
      <c r="A384">
        <v>382</v>
      </c>
      <c r="C384" s="14">
        <f t="shared" si="21"/>
        <v>1038541.2375146922</v>
      </c>
      <c r="D384" s="14">
        <f t="shared" si="22"/>
        <v>880740.07038742327</v>
      </c>
      <c r="E384" s="14">
        <f t="shared" si="23"/>
        <v>47980.957045517644</v>
      </c>
      <c r="F384" s="14">
        <f t="shared" si="20"/>
        <v>69573.079439633992</v>
      </c>
      <c r="H384" s="14" cm="1">
        <f t="array" ref="H384:K384">MMULT($C383:$F383,P_Matrix)</f>
        <v>989828.39473774249</v>
      </c>
      <c r="I384" s="14">
        <v>859863.13776873052</v>
      </c>
      <c r="J384" s="14">
        <v>47980.957045517644</v>
      </c>
      <c r="K384" s="14">
        <v>139145.53752600995</v>
      </c>
      <c r="M384" s="12">
        <f>MAX((Inputs!F$25*POWER(1+(Inputs!$C$3-(Inputs!$C$3*(('Steady State'!$A384-1)/Inputs!$C$4))),'Steady State'!$A384-1)),M383)</f>
        <v>48712.842776949758</v>
      </c>
      <c r="N384" s="12">
        <f>MAX((Inputs!G$25*POWER(1+(Inputs!$C$3-(Inputs!$C$3*(('Steady State'!$A384-1)/Inputs!$C$4))),'Steady State'!$A384-1)),N383)</f>
        <v>20876.932618692754</v>
      </c>
      <c r="O384" s="12">
        <v>0</v>
      </c>
      <c r="P384" s="12">
        <v>0</v>
      </c>
    </row>
    <row r="385" spans="1:16" x14ac:dyDescent="0.35">
      <c r="A385">
        <v>383</v>
      </c>
      <c r="C385" s="14">
        <f t="shared" si="21"/>
        <v>1038547.1024491864</v>
      </c>
      <c r="D385" s="14">
        <f t="shared" si="22"/>
        <v>880749.87208931462</v>
      </c>
      <c r="E385" s="14">
        <f t="shared" si="23"/>
        <v>47981.387306331744</v>
      </c>
      <c r="F385" s="14">
        <f t="shared" si="20"/>
        <v>69573.678498442867</v>
      </c>
      <c r="H385" s="14" cm="1">
        <f t="array" ref="H385:K385">MMULT($C384:$F384,P_Matrix)</f>
        <v>989834.25967223663</v>
      </c>
      <c r="I385" s="14">
        <v>859872.93947062187</v>
      </c>
      <c r="J385" s="14">
        <v>47981.387306331744</v>
      </c>
      <c r="K385" s="14">
        <v>139146.75793807686</v>
      </c>
      <c r="M385" s="12">
        <f>MAX((Inputs!F$25*POWER(1+(Inputs!$C$3-(Inputs!$C$3*(('Steady State'!$A385-1)/Inputs!$C$4))),'Steady State'!$A385-1)),M384)</f>
        <v>48712.842776949758</v>
      </c>
      <c r="N385" s="12">
        <f>MAX((Inputs!G$25*POWER(1+(Inputs!$C$3-(Inputs!$C$3*(('Steady State'!$A385-1)/Inputs!$C$4))),'Steady State'!$A385-1)),N384)</f>
        <v>20876.932618692754</v>
      </c>
      <c r="O385" s="12">
        <v>0</v>
      </c>
      <c r="P385" s="12">
        <v>0</v>
      </c>
    </row>
    <row r="386" spans="1:16" x14ac:dyDescent="0.35">
      <c r="A386">
        <v>384</v>
      </c>
      <c r="C386" s="14">
        <f t="shared" si="21"/>
        <v>1038552.7565307112</v>
      </c>
      <c r="D386" s="14">
        <f t="shared" si="22"/>
        <v>880759.32251784194</v>
      </c>
      <c r="E386" s="14">
        <f t="shared" si="23"/>
        <v>47981.802129184056</v>
      </c>
      <c r="F386" s="14">
        <f t="shared" si="20"/>
        <v>69574.256062737957</v>
      </c>
      <c r="H386" s="14" cm="1">
        <f t="array" ref="H386:K386">MMULT($C385:$F385,P_Matrix)</f>
        <v>989839.91375376144</v>
      </c>
      <c r="I386" s="14">
        <v>859882.38989914919</v>
      </c>
      <c r="J386" s="14">
        <v>47981.802129184056</v>
      </c>
      <c r="K386" s="14">
        <v>139147.93456118082</v>
      </c>
      <c r="M386" s="12">
        <f>MAX((Inputs!F$25*POWER(1+(Inputs!$C$3-(Inputs!$C$3*(('Steady State'!$A386-1)/Inputs!$C$4))),'Steady State'!$A386-1)),M385)</f>
        <v>48712.842776949758</v>
      </c>
      <c r="N386" s="12">
        <f>MAX((Inputs!G$25*POWER(1+(Inputs!$C$3-(Inputs!$C$3*(('Steady State'!$A386-1)/Inputs!$C$4))),'Steady State'!$A386-1)),N385)</f>
        <v>20876.932618692754</v>
      </c>
      <c r="O386" s="12">
        <v>0</v>
      </c>
      <c r="P386" s="12">
        <v>0</v>
      </c>
    </row>
    <row r="387" spans="1:16" x14ac:dyDescent="0.35">
      <c r="A387">
        <v>385</v>
      </c>
      <c r="C387" s="14">
        <f t="shared" si="21"/>
        <v>1038558.2073539151</v>
      </c>
      <c r="D387" s="14">
        <f t="shared" si="22"/>
        <v>880768.43424771598</v>
      </c>
      <c r="E387" s="14">
        <f t="shared" si="23"/>
        <v>47982.202067995968</v>
      </c>
      <c r="F387" s="14">
        <f t="shared" ref="F387:F450" si="24">(K387+P387)-F386</f>
        <v>69574.812903752609</v>
      </c>
      <c r="H387" s="14" cm="1">
        <f t="array" ref="H387:K387">MMULT($C386:$F386,P_Matrix)</f>
        <v>989845.36457696534</v>
      </c>
      <c r="I387" s="14">
        <v>859891.50162902323</v>
      </c>
      <c r="J387" s="14">
        <v>47982.202067995968</v>
      </c>
      <c r="K387" s="14">
        <v>139149.06896649057</v>
      </c>
      <c r="M387" s="12">
        <f>MAX((Inputs!F$25*POWER(1+(Inputs!$C$3-(Inputs!$C$3*(('Steady State'!$A387-1)/Inputs!$C$4))),'Steady State'!$A387-1)),M386)</f>
        <v>48712.842776949758</v>
      </c>
      <c r="N387" s="12">
        <f>MAX((Inputs!G$25*POWER(1+(Inputs!$C$3-(Inputs!$C$3*(('Steady State'!$A387-1)/Inputs!$C$4))),'Steady State'!$A387-1)),N386)</f>
        <v>20876.932618692754</v>
      </c>
      <c r="O387" s="12">
        <v>0</v>
      </c>
      <c r="P387" s="12">
        <v>0</v>
      </c>
    </row>
    <row r="388" spans="1:16" x14ac:dyDescent="0.35">
      <c r="A388">
        <v>386</v>
      </c>
      <c r="C388" s="14">
        <f t="shared" ref="C388:C451" si="25">H388+M388</f>
        <v>1038563.4622389065</v>
      </c>
      <c r="D388" s="14">
        <f t="shared" ref="D388:D451" si="26">I388+N388</f>
        <v>880777.21940450103</v>
      </c>
      <c r="E388" s="14">
        <f t="shared" ref="E388:E451" si="27">J388+O388</f>
        <v>47982.587656813892</v>
      </c>
      <c r="F388" s="14">
        <f t="shared" si="24"/>
        <v>69575.349765047926</v>
      </c>
      <c r="H388" s="14" cm="1">
        <f t="array" ref="H388:K388">MMULT($C387:$F387,P_Matrix)</f>
        <v>989850.61946195678</v>
      </c>
      <c r="I388" s="14">
        <v>859900.28678580828</v>
      </c>
      <c r="J388" s="14">
        <v>47982.587656813892</v>
      </c>
      <c r="K388" s="14">
        <v>139150.16266880053</v>
      </c>
      <c r="M388" s="12">
        <f>MAX((Inputs!F$25*POWER(1+(Inputs!$C$3-(Inputs!$C$3*(('Steady State'!$A388-1)/Inputs!$C$4))),'Steady State'!$A388-1)),M387)</f>
        <v>48712.842776949758</v>
      </c>
      <c r="N388" s="12">
        <f>MAX((Inputs!G$25*POWER(1+(Inputs!$C$3-(Inputs!$C$3*(('Steady State'!$A388-1)/Inputs!$C$4))),'Steady State'!$A388-1)),N387)</f>
        <v>20876.932618692754</v>
      </c>
      <c r="O388" s="12">
        <v>0</v>
      </c>
      <c r="P388" s="12">
        <v>0</v>
      </c>
    </row>
    <row r="389" spans="1:16" x14ac:dyDescent="0.35">
      <c r="A389">
        <v>387</v>
      </c>
      <c r="C389" s="14">
        <f t="shared" si="25"/>
        <v>1038568.5282412482</v>
      </c>
      <c r="D389" s="14">
        <f t="shared" si="26"/>
        <v>880785.6896805875</v>
      </c>
      <c r="E389" s="14">
        <f t="shared" si="27"/>
        <v>47982.95941052241</v>
      </c>
      <c r="F389" s="14">
        <f t="shared" si="24"/>
        <v>69575.867363505706</v>
      </c>
      <c r="H389" s="14" cm="1">
        <f t="array" ref="H389:K389">MMULT($C388:$F388,P_Matrix)</f>
        <v>989855.68546429847</v>
      </c>
      <c r="I389" s="14">
        <v>859908.75706189475</v>
      </c>
      <c r="J389" s="14">
        <v>47982.95941052241</v>
      </c>
      <c r="K389" s="14">
        <v>139151.21712855363</v>
      </c>
      <c r="M389" s="12">
        <f>MAX((Inputs!F$25*POWER(1+(Inputs!$C$3-(Inputs!$C$3*(('Steady State'!$A389-1)/Inputs!$C$4))),'Steady State'!$A389-1)),M388)</f>
        <v>48712.842776949758</v>
      </c>
      <c r="N389" s="12">
        <f>MAX((Inputs!G$25*POWER(1+(Inputs!$C$3-(Inputs!$C$3*(('Steady State'!$A389-1)/Inputs!$C$4))),'Steady State'!$A389-1)),N388)</f>
        <v>20876.932618692754</v>
      </c>
      <c r="O389" s="12">
        <v>0</v>
      </c>
      <c r="P389" s="12">
        <v>0</v>
      </c>
    </row>
    <row r="390" spans="1:16" x14ac:dyDescent="0.35">
      <c r="A390">
        <v>388</v>
      </c>
      <c r="C390" s="14">
        <f t="shared" si="25"/>
        <v>1038573.4121615812</v>
      </c>
      <c r="D390" s="14">
        <f t="shared" si="26"/>
        <v>880793.856350602</v>
      </c>
      <c r="E390" s="14">
        <f t="shared" si="27"/>
        <v>47983.317825531805</v>
      </c>
      <c r="F390" s="14">
        <f t="shared" si="24"/>
        <v>69576.366390285664</v>
      </c>
      <c r="H390" s="14" cm="1">
        <f t="array" ref="H390:K390">MMULT($C389:$F389,P_Matrix)</f>
        <v>989860.56938463147</v>
      </c>
      <c r="I390" s="14">
        <v>859916.92373190925</v>
      </c>
      <c r="J390" s="14">
        <v>47983.317825531805</v>
      </c>
      <c r="K390" s="14">
        <v>139152.23375379137</v>
      </c>
      <c r="M390" s="12">
        <f>MAX((Inputs!F$25*POWER(1+(Inputs!$C$3-(Inputs!$C$3*(('Steady State'!$A390-1)/Inputs!$C$4))),'Steady State'!$A390-1)),M389)</f>
        <v>48712.842776949758</v>
      </c>
      <c r="N390" s="12">
        <f>MAX((Inputs!G$25*POWER(1+(Inputs!$C$3-(Inputs!$C$3*(('Steady State'!$A390-1)/Inputs!$C$4))),'Steady State'!$A390-1)),N389)</f>
        <v>20876.932618692754</v>
      </c>
      <c r="O390" s="12">
        <v>0</v>
      </c>
      <c r="P390" s="12">
        <v>0</v>
      </c>
    </row>
    <row r="391" spans="1:16" x14ac:dyDescent="0.35">
      <c r="A391">
        <v>389</v>
      </c>
      <c r="C391" s="14">
        <f t="shared" si="25"/>
        <v>1038578.1205548953</v>
      </c>
      <c r="D391" s="14">
        <f t="shared" si="26"/>
        <v>880801.73028627282</v>
      </c>
      <c r="E391" s="14">
        <f t="shared" si="27"/>
        <v>47983.663380440921</v>
      </c>
      <c r="F391" s="14">
        <f t="shared" si="24"/>
        <v>69576.847511748434</v>
      </c>
      <c r="H391" s="14" cm="1">
        <f t="array" ref="H391:K391">MMULT($C390:$F390,P_Matrix)</f>
        <v>989865.27777794551</v>
      </c>
      <c r="I391" s="14">
        <v>859924.79766758007</v>
      </c>
      <c r="J391" s="14">
        <v>47983.663380440921</v>
      </c>
      <c r="K391" s="14">
        <v>139153.2139020341</v>
      </c>
      <c r="M391" s="12">
        <f>MAX((Inputs!F$25*POWER(1+(Inputs!$C$3-(Inputs!$C$3*(('Steady State'!$A391-1)/Inputs!$C$4))),'Steady State'!$A391-1)),M390)</f>
        <v>48712.842776949758</v>
      </c>
      <c r="N391" s="12">
        <f>MAX((Inputs!G$25*POWER(1+(Inputs!$C$3-(Inputs!$C$3*(('Steady State'!$A391-1)/Inputs!$C$4))),'Steady State'!$A391-1)),N390)</f>
        <v>20876.932618692754</v>
      </c>
      <c r="O391" s="12">
        <v>0</v>
      </c>
      <c r="P391" s="12">
        <v>0</v>
      </c>
    </row>
    <row r="392" spans="1:16" x14ac:dyDescent="0.35">
      <c r="A392">
        <v>390</v>
      </c>
      <c r="C392" s="14">
        <f t="shared" si="25"/>
        <v>1038582.659739458</v>
      </c>
      <c r="D392" s="14">
        <f t="shared" si="26"/>
        <v>880809.32197077188</v>
      </c>
      <c r="E392" s="14">
        <f t="shared" si="27"/>
        <v>47983.996536676234</v>
      </c>
      <c r="F392" s="14">
        <f t="shared" si="24"/>
        <v>69577.311370345269</v>
      </c>
      <c r="H392" s="14" cm="1">
        <f t="array" ref="H392:K392">MMULT($C391:$F391,P_Matrix)</f>
        <v>989869.81696250825</v>
      </c>
      <c r="I392" s="14">
        <v>859932.38935207913</v>
      </c>
      <c r="J392" s="14">
        <v>47983.996536676234</v>
      </c>
      <c r="K392" s="14">
        <v>139154.1588820937</v>
      </c>
      <c r="M392" s="12">
        <f>MAX((Inputs!F$25*POWER(1+(Inputs!$C$3-(Inputs!$C$3*(('Steady State'!$A392-1)/Inputs!$C$4))),'Steady State'!$A392-1)),M391)</f>
        <v>48712.842776949758</v>
      </c>
      <c r="N392" s="12">
        <f>MAX((Inputs!G$25*POWER(1+(Inputs!$C$3-(Inputs!$C$3*(('Steady State'!$A392-1)/Inputs!$C$4))),'Steady State'!$A392-1)),N391)</f>
        <v>20876.932618692754</v>
      </c>
      <c r="O392" s="12">
        <v>0</v>
      </c>
      <c r="P392" s="12">
        <v>0</v>
      </c>
    </row>
    <row r="393" spans="1:16" x14ac:dyDescent="0.35">
      <c r="A393">
        <v>391</v>
      </c>
      <c r="C393" s="14">
        <f t="shared" si="25"/>
        <v>1038587.0358054155</v>
      </c>
      <c r="D393" s="14">
        <f t="shared" si="26"/>
        <v>880816.64151254902</v>
      </c>
      <c r="E393" s="14">
        <f t="shared" si="27"/>
        <v>47984.317739108039</v>
      </c>
      <c r="F393" s="14">
        <f t="shared" si="24"/>
        <v>69577.758585475938</v>
      </c>
      <c r="H393" s="14" cm="1">
        <f t="array" ref="H393:K393">MMULT($C392:$F392,P_Matrix)</f>
        <v>989874.19302846573</v>
      </c>
      <c r="I393" s="14">
        <v>859939.70889385627</v>
      </c>
      <c r="J393" s="14">
        <v>47984.317739108039</v>
      </c>
      <c r="K393" s="14">
        <v>139155.06995582121</v>
      </c>
      <c r="M393" s="12">
        <f>MAX((Inputs!F$25*POWER(1+(Inputs!$C$3-(Inputs!$C$3*(('Steady State'!$A393-1)/Inputs!$C$4))),'Steady State'!$A393-1)),M392)</f>
        <v>48712.842776949758</v>
      </c>
      <c r="N393" s="12">
        <f>MAX((Inputs!G$25*POWER(1+(Inputs!$C$3-(Inputs!$C$3*(('Steady State'!$A393-1)/Inputs!$C$4))),'Steady State'!$A393-1)),N392)</f>
        <v>20876.932618692754</v>
      </c>
      <c r="O393" s="12">
        <v>0</v>
      </c>
      <c r="P393" s="12">
        <v>0</v>
      </c>
    </row>
    <row r="394" spans="1:16" x14ac:dyDescent="0.35">
      <c r="A394">
        <v>392</v>
      </c>
      <c r="C394" s="14">
        <f t="shared" si="25"/>
        <v>1038591.2546230765</v>
      </c>
      <c r="D394" s="14">
        <f t="shared" si="26"/>
        <v>880823.69865867798</v>
      </c>
      <c r="E394" s="14">
        <f t="shared" si="27"/>
        <v>47984.627416644464</v>
      </c>
      <c r="F394" s="14">
        <f t="shared" si="24"/>
        <v>69578.189754315943</v>
      </c>
      <c r="H394" s="14" cm="1">
        <f t="array" ref="H394:K394">MMULT($C393:$F393,P_Matrix)</f>
        <v>989878.41184612678</v>
      </c>
      <c r="I394" s="14">
        <v>859946.76603998523</v>
      </c>
      <c r="J394" s="14">
        <v>47984.627416644464</v>
      </c>
      <c r="K394" s="14">
        <v>139155.94833979188</v>
      </c>
      <c r="M394" s="12">
        <f>MAX((Inputs!F$25*POWER(1+(Inputs!$C$3-(Inputs!$C$3*(('Steady State'!$A394-1)/Inputs!$C$4))),'Steady State'!$A394-1)),M393)</f>
        <v>48712.842776949758</v>
      </c>
      <c r="N394" s="12">
        <f>MAX((Inputs!G$25*POWER(1+(Inputs!$C$3-(Inputs!$C$3*(('Steady State'!$A394-1)/Inputs!$C$4))),'Steady State'!$A394-1)),N393)</f>
        <v>20876.932618692754</v>
      </c>
      <c r="O394" s="12">
        <v>0</v>
      </c>
      <c r="P394" s="12">
        <v>0</v>
      </c>
    </row>
    <row r="395" spans="1:16" x14ac:dyDescent="0.35">
      <c r="A395">
        <v>393</v>
      </c>
      <c r="C395" s="14">
        <f t="shared" si="25"/>
        <v>1038595.321850893</v>
      </c>
      <c r="D395" s="14">
        <f t="shared" si="26"/>
        <v>880830.50280773058</v>
      </c>
      <c r="E395" s="14">
        <f t="shared" si="27"/>
        <v>47984.925982804227</v>
      </c>
      <c r="F395" s="14">
        <f t="shared" si="24"/>
        <v>69578.60545261373</v>
      </c>
      <c r="H395" s="14" cm="1">
        <f t="array" ref="H395:K395">MMULT($C394:$F394,P_Matrix)</f>
        <v>989882.47907394322</v>
      </c>
      <c r="I395" s="14">
        <v>859953.57018903783</v>
      </c>
      <c r="J395" s="14">
        <v>47984.925982804227</v>
      </c>
      <c r="K395" s="14">
        <v>139156.79520692967</v>
      </c>
      <c r="M395" s="12">
        <f>MAX((Inputs!F$25*POWER(1+(Inputs!$C$3-(Inputs!$C$3*(('Steady State'!$A395-1)/Inputs!$C$4))),'Steady State'!$A395-1)),M394)</f>
        <v>48712.842776949758</v>
      </c>
      <c r="N395" s="12">
        <f>MAX((Inputs!G$25*POWER(1+(Inputs!$C$3-(Inputs!$C$3*(('Steady State'!$A395-1)/Inputs!$C$4))),'Steady State'!$A395-1)),N394)</f>
        <v>20876.932618692754</v>
      </c>
      <c r="O395" s="12">
        <v>0</v>
      </c>
      <c r="P395" s="12">
        <v>0</v>
      </c>
    </row>
    <row r="396" spans="1:16" x14ac:dyDescent="0.35">
      <c r="A396">
        <v>394</v>
      </c>
      <c r="C396" s="14">
        <f t="shared" si="25"/>
        <v>1038599.2429431468</v>
      </c>
      <c r="D396" s="14">
        <f t="shared" si="26"/>
        <v>880837.06302219478</v>
      </c>
      <c r="E396" s="14">
        <f t="shared" si="27"/>
        <v>47985.213836268769</v>
      </c>
      <c r="F396" s="14">
        <f t="shared" si="24"/>
        <v>69579.006235459761</v>
      </c>
      <c r="H396" s="14" cm="1">
        <f t="array" ref="H396:K396">MMULT($C395:$F395,P_Matrix)</f>
        <v>989886.4001661971</v>
      </c>
      <c r="I396" s="14">
        <v>859960.13040350203</v>
      </c>
      <c r="J396" s="14">
        <v>47985.213836268769</v>
      </c>
      <c r="K396" s="14">
        <v>139157.61168807349</v>
      </c>
      <c r="M396" s="12">
        <f>MAX((Inputs!F$25*POWER(1+(Inputs!$C$3-(Inputs!$C$3*(('Steady State'!$A396-1)/Inputs!$C$4))),'Steady State'!$A396-1)),M395)</f>
        <v>48712.842776949758</v>
      </c>
      <c r="N396" s="12">
        <f>MAX((Inputs!G$25*POWER(1+(Inputs!$C$3-(Inputs!$C$3*(('Steady State'!$A396-1)/Inputs!$C$4))),'Steady State'!$A396-1)),N395)</f>
        <v>20876.932618692754</v>
      </c>
      <c r="O396" s="12">
        <v>0</v>
      </c>
      <c r="P396" s="12">
        <v>0</v>
      </c>
    </row>
    <row r="397" spans="1:16" x14ac:dyDescent="0.35">
      <c r="A397">
        <v>395</v>
      </c>
      <c r="C397" s="14">
        <f t="shared" si="25"/>
        <v>1038603.0231573565</v>
      </c>
      <c r="D397" s="14">
        <f t="shared" si="26"/>
        <v>880843.38804045413</v>
      </c>
      <c r="E397" s="14">
        <f t="shared" si="27"/>
        <v>47985.491361414679</v>
      </c>
      <c r="F397" s="14">
        <f t="shared" si="24"/>
        <v>69579.392638027435</v>
      </c>
      <c r="H397" s="14" cm="1">
        <f t="array" ref="H397:K397">MMULT($C396:$F396,P_Matrix)</f>
        <v>989890.18038040679</v>
      </c>
      <c r="I397" s="14">
        <v>859966.45542176138</v>
      </c>
      <c r="J397" s="14">
        <v>47985.491361414679</v>
      </c>
      <c r="K397" s="14">
        <v>139158.3988734872</v>
      </c>
      <c r="M397" s="12">
        <f>MAX((Inputs!F$25*POWER(1+(Inputs!$C$3-(Inputs!$C$3*(('Steady State'!$A397-1)/Inputs!$C$4))),'Steady State'!$A397-1)),M396)</f>
        <v>48712.842776949758</v>
      </c>
      <c r="N397" s="12">
        <f>MAX((Inputs!G$25*POWER(1+(Inputs!$C$3-(Inputs!$C$3*(('Steady State'!$A397-1)/Inputs!$C$4))),'Steady State'!$A397-1)),N396)</f>
        <v>20876.932618692754</v>
      </c>
      <c r="O397" s="12">
        <v>0</v>
      </c>
      <c r="P397" s="12">
        <v>0</v>
      </c>
    </row>
    <row r="398" spans="1:16" x14ac:dyDescent="0.35">
      <c r="A398">
        <v>396</v>
      </c>
      <c r="C398" s="14">
        <f t="shared" si="25"/>
        <v>1038606.6675614108</v>
      </c>
      <c r="D398" s="14">
        <f t="shared" si="26"/>
        <v>880849.48628834204</v>
      </c>
      <c r="E398" s="14">
        <f t="shared" si="27"/>
        <v>47985.758928826916</v>
      </c>
      <c r="F398" s="14">
        <f t="shared" si="24"/>
        <v>69579.765176287969</v>
      </c>
      <c r="H398" s="14" cm="1">
        <f t="array" ref="H398:K398">MMULT($C397:$F397,P_Matrix)</f>
        <v>989893.82478446106</v>
      </c>
      <c r="I398" s="14">
        <v>859972.55366964929</v>
      </c>
      <c r="J398" s="14">
        <v>47985.758928826916</v>
      </c>
      <c r="K398" s="14">
        <v>139159.1578143154</v>
      </c>
      <c r="M398" s="12">
        <f>MAX((Inputs!F$25*POWER(1+(Inputs!$C$3-(Inputs!$C$3*(('Steady State'!$A398-1)/Inputs!$C$4))),'Steady State'!$A398-1)),M397)</f>
        <v>48712.842776949758</v>
      </c>
      <c r="N398" s="12">
        <f>MAX((Inputs!G$25*POWER(1+(Inputs!$C$3-(Inputs!$C$3*(('Steady State'!$A398-1)/Inputs!$C$4))),'Steady State'!$A398-1)),N397)</f>
        <v>20876.932618692754</v>
      </c>
      <c r="O398" s="12">
        <v>0</v>
      </c>
      <c r="P398" s="12">
        <v>0</v>
      </c>
    </row>
    <row r="399" spans="1:16" x14ac:dyDescent="0.35">
      <c r="A399">
        <v>397</v>
      </c>
      <c r="C399" s="14">
        <f t="shared" si="25"/>
        <v>1038610.181040442</v>
      </c>
      <c r="D399" s="14">
        <f t="shared" si="26"/>
        <v>880855.36589028721</v>
      </c>
      <c r="E399" s="14">
        <f t="shared" si="27"/>
        <v>47986.016895793684</v>
      </c>
      <c r="F399" s="14">
        <f t="shared" si="24"/>
        <v>69580.124347699311</v>
      </c>
      <c r="H399" s="14" cm="1">
        <f t="array" ref="H399:K399">MMULT($C398:$F398,P_Matrix)</f>
        <v>989897.33826349222</v>
      </c>
      <c r="I399" s="14">
        <v>859978.43327159446</v>
      </c>
      <c r="J399" s="14">
        <v>47986.016895793684</v>
      </c>
      <c r="K399" s="14">
        <v>139159.88952398728</v>
      </c>
      <c r="M399" s="12">
        <f>MAX((Inputs!F$25*POWER(1+(Inputs!$C$3-(Inputs!$C$3*(('Steady State'!$A399-1)/Inputs!$C$4))),'Steady State'!$A399-1)),M398)</f>
        <v>48712.842776949758</v>
      </c>
      <c r="N399" s="12">
        <f>MAX((Inputs!G$25*POWER(1+(Inputs!$C$3-(Inputs!$C$3*(('Steady State'!$A399-1)/Inputs!$C$4))),'Steady State'!$A399-1)),N398)</f>
        <v>20876.932618692754</v>
      </c>
      <c r="O399" s="12">
        <v>0</v>
      </c>
      <c r="P399" s="12">
        <v>0</v>
      </c>
    </row>
    <row r="400" spans="1:16" x14ac:dyDescent="0.35">
      <c r="A400">
        <v>398</v>
      </c>
      <c r="C400" s="14">
        <f t="shared" si="25"/>
        <v>1038613.5683034473</v>
      </c>
      <c r="D400" s="14">
        <f t="shared" si="26"/>
        <v>880861.03468006407</v>
      </c>
      <c r="E400" s="14">
        <f t="shared" si="27"/>
        <v>47986.265606783505</v>
      </c>
      <c r="F400" s="14">
        <f t="shared" si="24"/>
        <v>69580.470631870296</v>
      </c>
      <c r="H400" s="14" cm="1">
        <f t="array" ref="H400:K400">MMULT($C399:$F399,P_Matrix)</f>
        <v>989900.72552649758</v>
      </c>
      <c r="I400" s="14">
        <v>859984.10206137132</v>
      </c>
      <c r="J400" s="14">
        <v>47986.265606783505</v>
      </c>
      <c r="K400" s="14">
        <v>139160.59497956961</v>
      </c>
      <c r="M400" s="12">
        <f>MAX((Inputs!F$25*POWER(1+(Inputs!$C$3-(Inputs!$C$3*(('Steady State'!$A400-1)/Inputs!$C$4))),'Steady State'!$A400-1)),M399)</f>
        <v>48712.842776949758</v>
      </c>
      <c r="N400" s="12">
        <f>MAX((Inputs!G$25*POWER(1+(Inputs!$C$3-(Inputs!$C$3*(('Steady State'!$A400-1)/Inputs!$C$4))),'Steady State'!$A400-1)),N399)</f>
        <v>20876.932618692754</v>
      </c>
      <c r="O400" s="12">
        <v>0</v>
      </c>
      <c r="P400" s="12">
        <v>0</v>
      </c>
    </row>
    <row r="401" spans="1:16" x14ac:dyDescent="0.35">
      <c r="A401">
        <v>399</v>
      </c>
      <c r="C401" s="14">
        <f t="shared" si="25"/>
        <v>1038616.8338896692</v>
      </c>
      <c r="D401" s="14">
        <f t="shared" si="26"/>
        <v>880866.50021116168</v>
      </c>
      <c r="E401" s="14">
        <f t="shared" si="27"/>
        <v>47986.505393905216</v>
      </c>
      <c r="F401" s="14">
        <f t="shared" si="24"/>
        <v>69580.804491201212</v>
      </c>
      <c r="H401" s="14" cm="1">
        <f t="array" ref="H401:K401">MMULT($C400:$F400,P_Matrix)</f>
        <v>989903.99111271941</v>
      </c>
      <c r="I401" s="14">
        <v>859989.56759246893</v>
      </c>
      <c r="J401" s="14">
        <v>47986.505393905216</v>
      </c>
      <c r="K401" s="14">
        <v>139161.27512307151</v>
      </c>
      <c r="M401" s="12">
        <f>MAX((Inputs!F$25*POWER(1+(Inputs!$C$3-(Inputs!$C$3*(('Steady State'!$A401-1)/Inputs!$C$4))),'Steady State'!$A401-1)),M400)</f>
        <v>48712.842776949758</v>
      </c>
      <c r="N401" s="12">
        <f>MAX((Inputs!G$25*POWER(1+(Inputs!$C$3-(Inputs!$C$3*(('Steady State'!$A401-1)/Inputs!$C$4))),'Steady State'!$A401-1)),N400)</f>
        <v>20876.932618692754</v>
      </c>
      <c r="O401" s="12">
        <v>0</v>
      </c>
      <c r="P401" s="12">
        <v>0</v>
      </c>
    </row>
    <row r="402" spans="1:16" x14ac:dyDescent="0.35">
      <c r="A402">
        <v>400</v>
      </c>
      <c r="C402" s="14">
        <f t="shared" si="25"/>
        <v>1038619.9821747408</v>
      </c>
      <c r="D402" s="14">
        <f t="shared" si="26"/>
        <v>880871.76976678497</v>
      </c>
      <c r="E402" s="14">
        <f t="shared" si="27"/>
        <v>47986.736577351432</v>
      </c>
      <c r="F402" s="14">
        <f t="shared" si="24"/>
        <v>69581.126371501217</v>
      </c>
      <c r="H402" s="14" cm="1">
        <f t="array" ref="H402:K402">MMULT($C401:$F401,P_Matrix)</f>
        <v>989907.139397791</v>
      </c>
      <c r="I402" s="14">
        <v>859994.83714809222</v>
      </c>
      <c r="J402" s="14">
        <v>47986.736577351432</v>
      </c>
      <c r="K402" s="14">
        <v>139161.93086270243</v>
      </c>
      <c r="M402" s="12">
        <f>MAX((Inputs!F$25*POWER(1+(Inputs!$C$3-(Inputs!$C$3*(('Steady State'!$A402-1)/Inputs!$C$4))),'Steady State'!$A402-1)),M401)</f>
        <v>48712.842776949758</v>
      </c>
      <c r="N402" s="12">
        <f>MAX((Inputs!G$25*POWER(1+(Inputs!$C$3-(Inputs!$C$3*(('Steady State'!$A402-1)/Inputs!$C$4))),'Steady State'!$A402-1)),N401)</f>
        <v>20876.932618692754</v>
      </c>
      <c r="O402" s="12">
        <v>0</v>
      </c>
      <c r="P402" s="12">
        <v>0</v>
      </c>
    </row>
    <row r="403" spans="1:16" x14ac:dyDescent="0.35">
      <c r="A403">
        <v>401</v>
      </c>
      <c r="C403" s="14">
        <f t="shared" si="25"/>
        <v>1038623.017376609</v>
      </c>
      <c r="D403" s="14">
        <f t="shared" si="26"/>
        <v>880876.85036950081</v>
      </c>
      <c r="E403" s="14">
        <f t="shared" si="27"/>
        <v>47986.959465826119</v>
      </c>
      <c r="F403" s="14">
        <f t="shared" si="24"/>
        <v>69581.436702583625</v>
      </c>
      <c r="H403" s="14" cm="1">
        <f t="array" ref="H403:K403">MMULT($C402:$F402,P_Matrix)</f>
        <v>989910.17459965928</v>
      </c>
      <c r="I403" s="14">
        <v>859999.91775080806</v>
      </c>
      <c r="J403" s="14">
        <v>47986.959465826119</v>
      </c>
      <c r="K403" s="14">
        <v>139162.56307408484</v>
      </c>
      <c r="M403" s="12">
        <f>MAX((Inputs!F$25*POWER(1+(Inputs!$C$3-(Inputs!$C$3*(('Steady State'!$A403-1)/Inputs!$C$4))),'Steady State'!$A403-1)),M402)</f>
        <v>48712.842776949758</v>
      </c>
      <c r="N403" s="12">
        <f>MAX((Inputs!G$25*POWER(1+(Inputs!$C$3-(Inputs!$C$3*(('Steady State'!$A403-1)/Inputs!$C$4))),'Steady State'!$A403-1)),N402)</f>
        <v>20876.932618692754</v>
      </c>
      <c r="O403" s="12">
        <v>0</v>
      </c>
      <c r="P403" s="12">
        <v>0</v>
      </c>
    </row>
    <row r="404" spans="1:16" x14ac:dyDescent="0.35">
      <c r="A404">
        <v>402</v>
      </c>
      <c r="C404" s="14">
        <f t="shared" si="25"/>
        <v>1038625.9435612398</v>
      </c>
      <c r="D404" s="14">
        <f t="shared" si="26"/>
        <v>880881.74879054201</v>
      </c>
      <c r="E404" s="14">
        <f t="shared" si="27"/>
        <v>47987.17435695677</v>
      </c>
      <c r="F404" s="14">
        <f t="shared" si="24"/>
        <v>69581.735898839834</v>
      </c>
      <c r="H404" s="14" cm="1">
        <f t="array" ref="H404:K404">MMULT($C403:$F403,P_Matrix)</f>
        <v>989913.10078429</v>
      </c>
      <c r="I404" s="14">
        <v>860004.81617184926</v>
      </c>
      <c r="J404" s="14">
        <v>47987.17435695677</v>
      </c>
      <c r="K404" s="14">
        <v>139163.17260142346</v>
      </c>
      <c r="M404" s="12">
        <f>MAX((Inputs!F$25*POWER(1+(Inputs!$C$3-(Inputs!$C$3*(('Steady State'!$A404-1)/Inputs!$C$4))),'Steady State'!$A404-1)),M403)</f>
        <v>48712.842776949758</v>
      </c>
      <c r="N404" s="12">
        <f>MAX((Inputs!G$25*POWER(1+(Inputs!$C$3-(Inputs!$C$3*(('Steady State'!$A404-1)/Inputs!$C$4))),'Steady State'!$A404-1)),N403)</f>
        <v>20876.932618692754</v>
      </c>
      <c r="O404" s="12">
        <v>0</v>
      </c>
      <c r="P404" s="12">
        <v>0</v>
      </c>
    </row>
    <row r="405" spans="1:16" x14ac:dyDescent="0.35">
      <c r="A405">
        <v>403</v>
      </c>
      <c r="C405" s="14">
        <f t="shared" si="25"/>
        <v>1038628.7646481162</v>
      </c>
      <c r="D405" s="14">
        <f t="shared" si="26"/>
        <v>880886.47155878029</v>
      </c>
      <c r="E405" s="14">
        <f t="shared" si="27"/>
        <v>47987.381537691879</v>
      </c>
      <c r="F405" s="14">
        <f t="shared" si="24"/>
        <v>69582.024359792646</v>
      </c>
      <c r="H405" s="14" cm="1">
        <f t="array" ref="H405:K405">MMULT($C404:$F404,P_Matrix)</f>
        <v>989915.92187116644</v>
      </c>
      <c r="I405" s="14">
        <v>860009.53894008754</v>
      </c>
      <c r="J405" s="14">
        <v>47987.381537691879</v>
      </c>
      <c r="K405" s="14">
        <v>139163.76025863248</v>
      </c>
      <c r="M405" s="12">
        <f>MAX((Inputs!F$25*POWER(1+(Inputs!$C$3-(Inputs!$C$3*(('Steady State'!$A405-1)/Inputs!$C$4))),'Steady State'!$A405-1)),M404)</f>
        <v>48712.842776949758</v>
      </c>
      <c r="N405" s="12">
        <f>MAX((Inputs!G$25*POWER(1+(Inputs!$C$3-(Inputs!$C$3*(('Steady State'!$A405-1)/Inputs!$C$4))),'Steady State'!$A405-1)),N404)</f>
        <v>20876.932618692754</v>
      </c>
      <c r="O405" s="12">
        <v>0</v>
      </c>
      <c r="P405" s="12">
        <v>0</v>
      </c>
    </row>
    <row r="406" spans="1:16" x14ac:dyDescent="0.35">
      <c r="A406">
        <v>404</v>
      </c>
      <c r="C406" s="14">
        <f t="shared" si="25"/>
        <v>1038631.4844155359</v>
      </c>
      <c r="D406" s="14">
        <f t="shared" si="26"/>
        <v>880891.02496938093</v>
      </c>
      <c r="E406" s="14">
        <f t="shared" si="27"/>
        <v>47987.581284684085</v>
      </c>
      <c r="F406" s="14">
        <f t="shared" si="24"/>
        <v>69582.30247062986</v>
      </c>
      <c r="H406" s="14" cm="1">
        <f t="array" ref="H406:K406">MMULT($C405:$F405,P_Matrix)</f>
        <v>989918.64163858618</v>
      </c>
      <c r="I406" s="14">
        <v>860014.09235068818</v>
      </c>
      <c r="J406" s="14">
        <v>47987.581284684085</v>
      </c>
      <c r="K406" s="14">
        <v>139164.32683042251</v>
      </c>
      <c r="M406" s="12">
        <f>MAX((Inputs!F$25*POWER(1+(Inputs!$C$3-(Inputs!$C$3*(('Steady State'!$A406-1)/Inputs!$C$4))),'Steady State'!$A406-1)),M405)</f>
        <v>48712.842776949758</v>
      </c>
      <c r="N406" s="12">
        <f>MAX((Inputs!G$25*POWER(1+(Inputs!$C$3-(Inputs!$C$3*(('Steady State'!$A406-1)/Inputs!$C$4))),'Steady State'!$A406-1)),N405)</f>
        <v>20876.932618692754</v>
      </c>
      <c r="O406" s="12">
        <v>0</v>
      </c>
      <c r="P406" s="12">
        <v>0</v>
      </c>
    </row>
    <row r="407" spans="1:16" x14ac:dyDescent="0.35">
      <c r="A407">
        <v>405</v>
      </c>
      <c r="C407" s="14">
        <f t="shared" si="25"/>
        <v>1038634.1065057156</v>
      </c>
      <c r="D407" s="14">
        <f t="shared" si="26"/>
        <v>880895.41509214952</v>
      </c>
      <c r="E407" s="14">
        <f t="shared" si="27"/>
        <v>47987.773864659626</v>
      </c>
      <c r="F407" s="14">
        <f t="shared" si="24"/>
        <v>69582.570602718508</v>
      </c>
      <c r="H407" s="14" cm="1">
        <f t="array" ref="H407:K407">MMULT($C406:$F406,P_Matrix)</f>
        <v>989921.26372876589</v>
      </c>
      <c r="I407" s="14">
        <v>860018.48247345677</v>
      </c>
      <c r="J407" s="14">
        <v>47987.773864659626</v>
      </c>
      <c r="K407" s="14">
        <v>139164.87307334837</v>
      </c>
      <c r="M407" s="12">
        <f>MAX((Inputs!F$25*POWER(1+(Inputs!$C$3-(Inputs!$C$3*(('Steady State'!$A407-1)/Inputs!$C$4))),'Steady State'!$A407-1)),M406)</f>
        <v>48712.842776949758</v>
      </c>
      <c r="N407" s="12">
        <f>MAX((Inputs!G$25*POWER(1+(Inputs!$C$3-(Inputs!$C$3*(('Steady State'!$A407-1)/Inputs!$C$4))),'Steady State'!$A407-1)),N406)</f>
        <v>20876.932618692754</v>
      </c>
      <c r="O407" s="12">
        <v>0</v>
      </c>
      <c r="P407" s="12">
        <v>0</v>
      </c>
    </row>
    <row r="408" spans="1:16" x14ac:dyDescent="0.35">
      <c r="A408">
        <v>406</v>
      </c>
      <c r="C408" s="14">
        <f t="shared" si="25"/>
        <v>1038636.6344297099</v>
      </c>
      <c r="D408" s="14">
        <f t="shared" si="26"/>
        <v>880899.64777958207</v>
      </c>
      <c r="E408" s="14">
        <f t="shared" si="27"/>
        <v>47987.959534774425</v>
      </c>
      <c r="F408" s="14">
        <f t="shared" si="24"/>
        <v>69582.829114100867</v>
      </c>
      <c r="H408" s="14" cm="1">
        <f t="array" ref="H408:K408">MMULT($C407:$F407,P_Matrix)</f>
        <v>989923.79165276012</v>
      </c>
      <c r="I408" s="14">
        <v>860022.71516088932</v>
      </c>
      <c r="J408" s="14">
        <v>47987.959534774425</v>
      </c>
      <c r="K408" s="14">
        <v>139165.39971681937</v>
      </c>
      <c r="M408" s="12">
        <f>MAX((Inputs!F$25*POWER(1+(Inputs!$C$3-(Inputs!$C$3*(('Steady State'!$A408-1)/Inputs!$C$4))),'Steady State'!$A408-1)),M407)</f>
        <v>48712.842776949758</v>
      </c>
      <c r="N408" s="12">
        <f>MAX((Inputs!G$25*POWER(1+(Inputs!$C$3-(Inputs!$C$3*(('Steady State'!$A408-1)/Inputs!$C$4))),'Steady State'!$A408-1)),N407)</f>
        <v>20876.932618692754</v>
      </c>
      <c r="O408" s="12">
        <v>0</v>
      </c>
      <c r="P408" s="12">
        <v>0</v>
      </c>
    </row>
    <row r="409" spans="1:16" x14ac:dyDescent="0.35">
      <c r="A409">
        <v>407</v>
      </c>
      <c r="C409" s="14">
        <f t="shared" si="25"/>
        <v>1038639.0715721502</v>
      </c>
      <c r="D409" s="14">
        <f t="shared" si="26"/>
        <v>880903.72867462854</v>
      </c>
      <c r="E409" s="14">
        <f t="shared" si="27"/>
        <v>47988.138542957575</v>
      </c>
      <c r="F409" s="14">
        <f t="shared" si="24"/>
        <v>69583.078349972347</v>
      </c>
      <c r="H409" s="14" cm="1">
        <f t="array" ref="H409:K409">MMULT($C408:$F408,P_Matrix)</f>
        <v>989926.22879520047</v>
      </c>
      <c r="I409" s="14">
        <v>860026.79605593579</v>
      </c>
      <c r="J409" s="14">
        <v>47988.138542957575</v>
      </c>
      <c r="K409" s="14">
        <v>139165.90746407321</v>
      </c>
      <c r="M409" s="12">
        <f>MAX((Inputs!F$25*POWER(1+(Inputs!$C$3-(Inputs!$C$3*(('Steady State'!$A409-1)/Inputs!$C$4))),'Steady State'!$A409-1)),M408)</f>
        <v>48712.842776949758</v>
      </c>
      <c r="N409" s="12">
        <f>MAX((Inputs!G$25*POWER(1+(Inputs!$C$3-(Inputs!$C$3*(('Steady State'!$A409-1)/Inputs!$C$4))),'Steady State'!$A409-1)),N408)</f>
        <v>20876.932618692754</v>
      </c>
      <c r="O409" s="12">
        <v>0</v>
      </c>
      <c r="P409" s="12">
        <v>0</v>
      </c>
    </row>
    <row r="410" spans="1:16" x14ac:dyDescent="0.35">
      <c r="A410">
        <v>408</v>
      </c>
      <c r="C410" s="14">
        <f t="shared" si="25"/>
        <v>1038641.421195813</v>
      </c>
      <c r="D410" s="14">
        <f t="shared" si="26"/>
        <v>880907.66321818077</v>
      </c>
      <c r="E410" s="14">
        <f t="shared" si="27"/>
        <v>47988.311128242334</v>
      </c>
      <c r="F410" s="14">
        <f t="shared" si="24"/>
        <v>69583.31864314276</v>
      </c>
      <c r="H410" s="14" cm="1">
        <f t="array" ref="H410:K410">MMULT($C409:$F409,P_Matrix)</f>
        <v>989928.57841886324</v>
      </c>
      <c r="I410" s="14">
        <v>860030.73059948802</v>
      </c>
      <c r="J410" s="14">
        <v>47988.311128242334</v>
      </c>
      <c r="K410" s="14">
        <v>139166.39699311511</v>
      </c>
      <c r="M410" s="12">
        <f>MAX((Inputs!F$25*POWER(1+(Inputs!$C$3-(Inputs!$C$3*(('Steady State'!$A410-1)/Inputs!$C$4))),'Steady State'!$A410-1)),M409)</f>
        <v>48712.842776949758</v>
      </c>
      <c r="N410" s="12">
        <f>MAX((Inputs!G$25*POWER(1+(Inputs!$C$3-(Inputs!$C$3*(('Steady State'!$A410-1)/Inputs!$C$4))),'Steady State'!$A410-1)),N409)</f>
        <v>20876.932618692754</v>
      </c>
      <c r="O410" s="12">
        <v>0</v>
      </c>
      <c r="P410" s="12">
        <v>0</v>
      </c>
    </row>
    <row r="411" spans="1:16" x14ac:dyDescent="0.35">
      <c r="A411">
        <v>409</v>
      </c>
      <c r="C411" s="14">
        <f t="shared" si="25"/>
        <v>1038643.6864460199</v>
      </c>
      <c r="D411" s="14">
        <f t="shared" si="26"/>
        <v>880911.45665629278</v>
      </c>
      <c r="E411" s="14">
        <f t="shared" si="27"/>
        <v>47988.47752108534</v>
      </c>
      <c r="F411" s="14">
        <f t="shared" si="24"/>
        <v>69583.550314480381</v>
      </c>
      <c r="H411" s="14" cm="1">
        <f t="array" ref="H411:K411">MMULT($C410:$F410,P_Matrix)</f>
        <v>989930.84366907016</v>
      </c>
      <c r="I411" s="14">
        <v>860034.52403760003</v>
      </c>
      <c r="J411" s="14">
        <v>47988.47752108534</v>
      </c>
      <c r="K411" s="14">
        <v>139166.86895762314</v>
      </c>
      <c r="M411" s="12">
        <f>MAX((Inputs!F$25*POWER(1+(Inputs!$C$3-(Inputs!$C$3*(('Steady State'!$A411-1)/Inputs!$C$4))),'Steady State'!$A411-1)),M410)</f>
        <v>48712.842776949758</v>
      </c>
      <c r="N411" s="12">
        <f>MAX((Inputs!G$25*POWER(1+(Inputs!$C$3-(Inputs!$C$3*(('Steady State'!$A411-1)/Inputs!$C$4))),'Steady State'!$A411-1)),N410)</f>
        <v>20876.932618692754</v>
      </c>
      <c r="O411" s="12">
        <v>0</v>
      </c>
      <c r="P411" s="12">
        <v>0</v>
      </c>
    </row>
    <row r="412" spans="1:16" x14ac:dyDescent="0.35">
      <c r="A412">
        <v>410</v>
      </c>
      <c r="C412" s="14">
        <f t="shared" si="25"/>
        <v>1038645.8703548799</v>
      </c>
      <c r="D412" s="14">
        <f t="shared" si="26"/>
        <v>880915.11404714547</v>
      </c>
      <c r="E412" s="14">
        <f t="shared" si="27"/>
        <v>47988.63794367433</v>
      </c>
      <c r="F412" s="14">
        <f t="shared" si="24"/>
        <v>69583.773673340736</v>
      </c>
      <c r="H412" s="14" cm="1">
        <f t="array" ref="H412:K412">MMULT($C411:$F411,P_Matrix)</f>
        <v>989933.02757793013</v>
      </c>
      <c r="I412" s="14">
        <v>860038.18142845272</v>
      </c>
      <c r="J412" s="14">
        <v>47988.63794367433</v>
      </c>
      <c r="K412" s="14">
        <v>139167.32398782112</v>
      </c>
      <c r="M412" s="12">
        <f>MAX((Inputs!F$25*POWER(1+(Inputs!$C$3-(Inputs!$C$3*(('Steady State'!$A412-1)/Inputs!$C$4))),'Steady State'!$A412-1)),M411)</f>
        <v>48712.842776949758</v>
      </c>
      <c r="N412" s="12">
        <f>MAX((Inputs!G$25*POWER(1+(Inputs!$C$3-(Inputs!$C$3*(('Steady State'!$A412-1)/Inputs!$C$4))),'Steady State'!$A412-1)),N411)</f>
        <v>20876.932618692754</v>
      </c>
      <c r="O412" s="12">
        <v>0</v>
      </c>
      <c r="P412" s="12">
        <v>0</v>
      </c>
    </row>
    <row r="413" spans="1:16" x14ac:dyDescent="0.35">
      <c r="A413">
        <v>411</v>
      </c>
      <c r="C413" s="14">
        <f t="shared" si="25"/>
        <v>1038647.9758453757</v>
      </c>
      <c r="D413" s="14">
        <f t="shared" si="26"/>
        <v>880918.64026776236</v>
      </c>
      <c r="E413" s="14">
        <f t="shared" si="27"/>
        <v>47988.792610224853</v>
      </c>
      <c r="F413" s="14">
        <f t="shared" si="24"/>
        <v>69583.989017979358</v>
      </c>
      <c r="H413" s="14" cm="1">
        <f t="array" ref="H413:K413">MMULT($C412:$F412,P_Matrix)</f>
        <v>989935.13306842593</v>
      </c>
      <c r="I413" s="14">
        <v>860041.70764906961</v>
      </c>
      <c r="J413" s="14">
        <v>47988.792610224853</v>
      </c>
      <c r="K413" s="14">
        <v>139167.76269132009</v>
      </c>
      <c r="M413" s="12">
        <f>MAX((Inputs!F$25*POWER(1+(Inputs!$C$3-(Inputs!$C$3*(('Steady State'!$A413-1)/Inputs!$C$4))),'Steady State'!$A413-1)),M412)</f>
        <v>48712.842776949758</v>
      </c>
      <c r="N413" s="12">
        <f>MAX((Inputs!G$25*POWER(1+(Inputs!$C$3-(Inputs!$C$3*(('Steady State'!$A413-1)/Inputs!$C$4))),'Steady State'!$A413-1)),N412)</f>
        <v>20876.932618692754</v>
      </c>
      <c r="O413" s="12">
        <v>0</v>
      </c>
      <c r="P413" s="12">
        <v>0</v>
      </c>
    </row>
    <row r="414" spans="1:16" x14ac:dyDescent="0.35">
      <c r="A414">
        <v>412</v>
      </c>
      <c r="C414" s="14">
        <f t="shared" si="25"/>
        <v>1038650.0057353029</v>
      </c>
      <c r="D414" s="14">
        <f t="shared" si="26"/>
        <v>880922.04002048564</v>
      </c>
      <c r="E414" s="14">
        <f t="shared" si="27"/>
        <v>47988.941727266298</v>
      </c>
      <c r="F414" s="14">
        <f t="shared" si="24"/>
        <v>69584.196635950357</v>
      </c>
      <c r="H414" s="14" cm="1">
        <f t="array" ref="H414:K414">MMULT($C413:$F413,P_Matrix)</f>
        <v>989937.16295835318</v>
      </c>
      <c r="I414" s="14">
        <v>860045.10740179289</v>
      </c>
      <c r="J414" s="14">
        <v>47988.941727266298</v>
      </c>
      <c r="K414" s="14">
        <v>139168.18565392972</v>
      </c>
      <c r="M414" s="12">
        <f>MAX((Inputs!F$25*POWER(1+(Inputs!$C$3-(Inputs!$C$3*(('Steady State'!$A414-1)/Inputs!$C$4))),'Steady State'!$A414-1)),M413)</f>
        <v>48712.842776949758</v>
      </c>
      <c r="N414" s="12">
        <f>MAX((Inputs!G$25*POWER(1+(Inputs!$C$3-(Inputs!$C$3*(('Steady State'!$A414-1)/Inputs!$C$4))),'Steady State'!$A414-1)),N413)</f>
        <v>20876.932618692754</v>
      </c>
      <c r="O414" s="12">
        <v>0</v>
      </c>
      <c r="P414" s="12">
        <v>0</v>
      </c>
    </row>
    <row r="415" spans="1:16" x14ac:dyDescent="0.35">
      <c r="A415">
        <v>413</v>
      </c>
      <c r="C415" s="14">
        <f t="shared" si="25"/>
        <v>1038651.962741066</v>
      </c>
      <c r="D415" s="14">
        <f t="shared" si="26"/>
        <v>880925.31783922354</v>
      </c>
      <c r="E415" s="14">
        <f t="shared" si="27"/>
        <v>47989.085493917664</v>
      </c>
      <c r="F415" s="14">
        <f t="shared" si="24"/>
        <v>69584.396804490243</v>
      </c>
      <c r="H415" s="14" cm="1">
        <f t="array" ref="H415:K415">MMULT($C414:$F414,P_Matrix)</f>
        <v>989939.11996411625</v>
      </c>
      <c r="I415" s="14">
        <v>860048.38522053079</v>
      </c>
      <c r="J415" s="14">
        <v>47989.085493917664</v>
      </c>
      <c r="K415" s="14">
        <v>139168.5934404406</v>
      </c>
      <c r="M415" s="12">
        <f>MAX((Inputs!F$25*POWER(1+(Inputs!$C$3-(Inputs!$C$3*(('Steady State'!$A415-1)/Inputs!$C$4))),'Steady State'!$A415-1)),M414)</f>
        <v>48712.842776949758</v>
      </c>
      <c r="N415" s="12">
        <f>MAX((Inputs!G$25*POWER(1+(Inputs!$C$3-(Inputs!$C$3*(('Steady State'!$A415-1)/Inputs!$C$4))),'Steady State'!$A415-1)),N414)</f>
        <v>20876.932618692754</v>
      </c>
      <c r="O415" s="12">
        <v>0</v>
      </c>
      <c r="P415" s="12">
        <v>0</v>
      </c>
    </row>
    <row r="416" spans="1:16" x14ac:dyDescent="0.35">
      <c r="A416">
        <v>414</v>
      </c>
      <c r="C416" s="14">
        <f t="shared" si="25"/>
        <v>1038653.8494813357</v>
      </c>
      <c r="D416" s="14">
        <f t="shared" si="26"/>
        <v>880928.47809547232</v>
      </c>
      <c r="E416" s="14">
        <f t="shared" si="27"/>
        <v>47989.224102153494</v>
      </c>
      <c r="F416" s="14">
        <f t="shared" si="24"/>
        <v>69584.589790888102</v>
      </c>
      <c r="H416" s="14" cm="1">
        <f t="array" ref="H416:K416">MMULT($C415:$F415,P_Matrix)</f>
        <v>989941.00670438597</v>
      </c>
      <c r="I416" s="14">
        <v>860051.54547677957</v>
      </c>
      <c r="J416" s="14">
        <v>47989.224102153494</v>
      </c>
      <c r="K416" s="14">
        <v>139168.98659537834</v>
      </c>
      <c r="M416" s="12">
        <f>MAX((Inputs!F$25*POWER(1+(Inputs!$C$3-(Inputs!$C$3*(('Steady State'!$A416-1)/Inputs!$C$4))),'Steady State'!$A416-1)),M415)</f>
        <v>48712.842776949758</v>
      </c>
      <c r="N416" s="12">
        <f>MAX((Inputs!G$25*POWER(1+(Inputs!$C$3-(Inputs!$C$3*(('Steady State'!$A416-1)/Inputs!$C$4))),'Steady State'!$A416-1)),N415)</f>
        <v>20876.932618692754</v>
      </c>
      <c r="O416" s="12">
        <v>0</v>
      </c>
      <c r="P416" s="12">
        <v>0</v>
      </c>
    </row>
    <row r="417" spans="1:16" x14ac:dyDescent="0.35">
      <c r="A417">
        <v>415</v>
      </c>
      <c r="C417" s="14">
        <f t="shared" si="25"/>
        <v>1038655.6684805753</v>
      </c>
      <c r="D417" s="14">
        <f t="shared" si="26"/>
        <v>880931.52500412578</v>
      </c>
      <c r="E417" s="14">
        <f t="shared" si="27"/>
        <v>47989.357737060178</v>
      </c>
      <c r="F417" s="14">
        <f t="shared" si="24"/>
        <v>69584.775852842606</v>
      </c>
      <c r="H417" s="14" cm="1">
        <f t="array" ref="H417:K417">MMULT($C416:$F416,P_Matrix)</f>
        <v>989942.82570362557</v>
      </c>
      <c r="I417" s="14">
        <v>860054.59238543303</v>
      </c>
      <c r="J417" s="14">
        <v>47989.357737060178</v>
      </c>
      <c r="K417" s="14">
        <v>139169.36564373071</v>
      </c>
      <c r="M417" s="12">
        <f>MAX((Inputs!F$25*POWER(1+(Inputs!$C$3-(Inputs!$C$3*(('Steady State'!$A417-1)/Inputs!$C$4))),'Steady State'!$A417-1)),M416)</f>
        <v>48712.842776949758</v>
      </c>
      <c r="N417" s="12">
        <f>MAX((Inputs!G$25*POWER(1+(Inputs!$C$3-(Inputs!$C$3*(('Steady State'!$A417-1)/Inputs!$C$4))),'Steady State'!$A417-1)),N416)</f>
        <v>20876.932618692754</v>
      </c>
      <c r="O417" s="12">
        <v>0</v>
      </c>
      <c r="P417" s="12">
        <v>0</v>
      </c>
    </row>
    <row r="418" spans="1:16" x14ac:dyDescent="0.35">
      <c r="A418">
        <v>416</v>
      </c>
      <c r="C418" s="14">
        <f t="shared" si="25"/>
        <v>1038657.4221724379</v>
      </c>
      <c r="D418" s="14">
        <f t="shared" si="26"/>
        <v>880934.46262907679</v>
      </c>
      <c r="E418" s="14">
        <f t="shared" si="27"/>
        <v>47989.486577083117</v>
      </c>
      <c r="F418" s="14">
        <f t="shared" si="24"/>
        <v>69584.955238806084</v>
      </c>
      <c r="H418" s="14" cm="1">
        <f t="array" ref="H418:K418">MMULT($C417:$F417,P_Matrix)</f>
        <v>989944.57939548814</v>
      </c>
      <c r="I418" s="14">
        <v>860057.53001038404</v>
      </c>
      <c r="J418" s="14">
        <v>47989.486577083117</v>
      </c>
      <c r="K418" s="14">
        <v>139169.73109164869</v>
      </c>
      <c r="M418" s="12">
        <f>MAX((Inputs!F$25*POWER(1+(Inputs!$C$3-(Inputs!$C$3*(('Steady State'!$A418-1)/Inputs!$C$4))),'Steady State'!$A418-1)),M417)</f>
        <v>48712.842776949758</v>
      </c>
      <c r="N418" s="12">
        <f>MAX((Inputs!G$25*POWER(1+(Inputs!$C$3-(Inputs!$C$3*(('Steady State'!$A418-1)/Inputs!$C$4))),'Steady State'!$A418-1)),N417)</f>
        <v>20876.932618692754</v>
      </c>
      <c r="O418" s="12">
        <v>0</v>
      </c>
      <c r="P418" s="12">
        <v>0</v>
      </c>
    </row>
    <row r="419" spans="1:16" x14ac:dyDescent="0.35">
      <c r="A419">
        <v>417</v>
      </c>
      <c r="C419" s="14">
        <f t="shared" si="25"/>
        <v>1038659.1129030404</v>
      </c>
      <c r="D419" s="14">
        <f t="shared" si="26"/>
        <v>880937.29488861852</v>
      </c>
      <c r="E419" s="14">
        <f t="shared" si="27"/>
        <v>47989.610794265012</v>
      </c>
      <c r="F419" s="14">
        <f t="shared" si="24"/>
        <v>69585.128188316216</v>
      </c>
      <c r="H419" s="14" cm="1">
        <f t="array" ref="H419:K419">MMULT($C418:$F418,P_Matrix)</f>
        <v>989946.27012609062</v>
      </c>
      <c r="I419" s="14">
        <v>860060.36226992577</v>
      </c>
      <c r="J419" s="14">
        <v>47989.610794265012</v>
      </c>
      <c r="K419" s="14">
        <v>139170.0834271223</v>
      </c>
      <c r="M419" s="12">
        <f>MAX((Inputs!F$25*POWER(1+(Inputs!$C$3-(Inputs!$C$3*(('Steady State'!$A419-1)/Inputs!$C$4))),'Steady State'!$A419-1)),M418)</f>
        <v>48712.842776949758</v>
      </c>
      <c r="N419" s="12">
        <f>MAX((Inputs!G$25*POWER(1+(Inputs!$C$3-(Inputs!$C$3*(('Steady State'!$A419-1)/Inputs!$C$4))),'Steady State'!$A419-1)),N418)</f>
        <v>20876.932618692754</v>
      </c>
      <c r="O419" s="12">
        <v>0</v>
      </c>
      <c r="P419" s="12">
        <v>0</v>
      </c>
    </row>
    <row r="420" spans="1:16" x14ac:dyDescent="0.35">
      <c r="A420">
        <v>418</v>
      </c>
      <c r="C420" s="14">
        <f t="shared" si="25"/>
        <v>1038660.7429341202</v>
      </c>
      <c r="D420" s="14">
        <f t="shared" si="26"/>
        <v>880940.02556065435</v>
      </c>
      <c r="E420" s="14">
        <f t="shared" si="27"/>
        <v>47989.730554475595</v>
      </c>
      <c r="F420" s="14">
        <f t="shared" si="24"/>
        <v>69585.294932316028</v>
      </c>
      <c r="H420" s="14" cm="1">
        <f t="array" ref="H420:K420">MMULT($C419:$F419,P_Matrix)</f>
        <v>989947.90015717049</v>
      </c>
      <c r="I420" s="14">
        <v>860063.0929419616</v>
      </c>
      <c r="J420" s="14">
        <v>47989.730554475595</v>
      </c>
      <c r="K420" s="14">
        <v>139170.42312063224</v>
      </c>
      <c r="M420" s="12">
        <f>MAX((Inputs!F$25*POWER(1+(Inputs!$C$3-(Inputs!$C$3*(('Steady State'!$A420-1)/Inputs!$C$4))),'Steady State'!$A420-1)),M419)</f>
        <v>48712.842776949758</v>
      </c>
      <c r="N420" s="12">
        <f>MAX((Inputs!G$25*POWER(1+(Inputs!$C$3-(Inputs!$C$3*(('Steady State'!$A420-1)/Inputs!$C$4))),'Steady State'!$A420-1)),N419)</f>
        <v>20876.932618692754</v>
      </c>
      <c r="O420" s="12">
        <v>0</v>
      </c>
      <c r="P420" s="12">
        <v>0</v>
      </c>
    </row>
    <row r="421" spans="1:16" x14ac:dyDescent="0.35">
      <c r="A421">
        <v>419</v>
      </c>
      <c r="C421" s="14">
        <f t="shared" si="25"/>
        <v>1038662.3144460768</v>
      </c>
      <c r="D421" s="14">
        <f t="shared" si="26"/>
        <v>880942.65828772041</v>
      </c>
      <c r="E421" s="14">
        <f t="shared" si="27"/>
        <v>47989.846017633099</v>
      </c>
      <c r="F421" s="14">
        <f t="shared" si="24"/>
        <v>69585.455693462136</v>
      </c>
      <c r="H421" s="14" cm="1">
        <f t="array" ref="H421:K421">MMULT($C420:$F420,P_Matrix)</f>
        <v>989949.471669127</v>
      </c>
      <c r="I421" s="14">
        <v>860065.72566902766</v>
      </c>
      <c r="J421" s="14">
        <v>47989.846017633099</v>
      </c>
      <c r="K421" s="14">
        <v>139170.75062577816</v>
      </c>
      <c r="M421" s="12">
        <f>MAX((Inputs!F$25*POWER(1+(Inputs!$C$3-(Inputs!$C$3*(('Steady State'!$A421-1)/Inputs!$C$4))),'Steady State'!$A421-1)),M420)</f>
        <v>48712.842776949758</v>
      </c>
      <c r="N421" s="12">
        <f>MAX((Inputs!G$25*POWER(1+(Inputs!$C$3-(Inputs!$C$3*(('Steady State'!$A421-1)/Inputs!$C$4))),'Steady State'!$A421-1)),N420)</f>
        <v>20876.932618692754</v>
      </c>
      <c r="O421" s="12">
        <v>0</v>
      </c>
      <c r="P421" s="12">
        <v>0</v>
      </c>
    </row>
    <row r="422" spans="1:16" x14ac:dyDescent="0.35">
      <c r="A422">
        <v>420</v>
      </c>
      <c r="C422" s="14">
        <f t="shared" si="25"/>
        <v>1038663.8295409023</v>
      </c>
      <c r="D422" s="14">
        <f t="shared" si="26"/>
        <v>880945.19658183027</v>
      </c>
      <c r="E422" s="14">
        <f t="shared" si="27"/>
        <v>47989.957337917833</v>
      </c>
      <c r="F422" s="14">
        <f t="shared" si="24"/>
        <v>69585.61068642218</v>
      </c>
      <c r="H422" s="14" cm="1">
        <f t="array" ref="H422:K422">MMULT($C421:$F421,P_Matrix)</f>
        <v>989950.98676395253</v>
      </c>
      <c r="I422" s="14">
        <v>860068.26396313752</v>
      </c>
      <c r="J422" s="14">
        <v>47989.957337917833</v>
      </c>
      <c r="K422" s="14">
        <v>139171.06637988432</v>
      </c>
      <c r="M422" s="12">
        <f>MAX((Inputs!F$25*POWER(1+(Inputs!$C$3-(Inputs!$C$3*(('Steady State'!$A422-1)/Inputs!$C$4))),'Steady State'!$A422-1)),M421)</f>
        <v>48712.842776949758</v>
      </c>
      <c r="N422" s="12">
        <f>MAX((Inputs!G$25*POWER(1+(Inputs!$C$3-(Inputs!$C$3*(('Steady State'!$A422-1)/Inputs!$C$4))),'Steady State'!$A422-1)),N421)</f>
        <v>20876.932618692754</v>
      </c>
      <c r="O422" s="12">
        <v>0</v>
      </c>
      <c r="P422" s="12">
        <v>0</v>
      </c>
    </row>
    <row r="423" spans="1:16" x14ac:dyDescent="0.35">
      <c r="A423">
        <v>421</v>
      </c>
      <c r="C423" s="14">
        <f t="shared" si="25"/>
        <v>1038665.2902450078</v>
      </c>
      <c r="D423" s="14">
        <f t="shared" si="26"/>
        <v>880947.64382914535</v>
      </c>
      <c r="E423" s="14">
        <f t="shared" si="27"/>
        <v>47990.064663978032</v>
      </c>
      <c r="F423" s="14">
        <f t="shared" si="24"/>
        <v>69585.760118161415</v>
      </c>
      <c r="H423" s="14" cm="1">
        <f t="array" ref="H423:K423">MMULT($C422:$F422,P_Matrix)</f>
        <v>989952.44746805809</v>
      </c>
      <c r="I423" s="14">
        <v>860070.7112104526</v>
      </c>
      <c r="J423" s="14">
        <v>47990.064663978032</v>
      </c>
      <c r="K423" s="14">
        <v>139171.3708045836</v>
      </c>
      <c r="M423" s="12">
        <f>MAX((Inputs!F$25*POWER(1+(Inputs!$C$3-(Inputs!$C$3*(('Steady State'!$A423-1)/Inputs!$C$4))),'Steady State'!$A423-1)),M422)</f>
        <v>48712.842776949758</v>
      </c>
      <c r="N423" s="12">
        <f>MAX((Inputs!G$25*POWER(1+(Inputs!$C$3-(Inputs!$C$3*(('Steady State'!$A423-1)/Inputs!$C$4))),'Steady State'!$A423-1)),N422)</f>
        <v>20876.932618692754</v>
      </c>
      <c r="O423" s="12">
        <v>0</v>
      </c>
      <c r="P423" s="12">
        <v>0</v>
      </c>
    </row>
    <row r="424" spans="1:16" x14ac:dyDescent="0.35">
      <c r="A424">
        <v>422</v>
      </c>
      <c r="C424" s="14">
        <f t="shared" si="25"/>
        <v>1038666.6985119464</v>
      </c>
      <c r="D424" s="14">
        <f t="shared" si="26"/>
        <v>880950.0032944798</v>
      </c>
      <c r="E424" s="14">
        <f t="shared" si="27"/>
        <v>47990.168139128349</v>
      </c>
      <c r="F424" s="14">
        <f t="shared" si="24"/>
        <v>69585.904188219109</v>
      </c>
      <c r="H424" s="14" cm="1">
        <f t="array" ref="H424:K424">MMULT($C423:$F423,P_Matrix)</f>
        <v>989953.85573499661</v>
      </c>
      <c r="I424" s="14">
        <v>860073.07067578705</v>
      </c>
      <c r="J424" s="14">
        <v>47990.168139128349</v>
      </c>
      <c r="K424" s="14">
        <v>139171.66430638052</v>
      </c>
      <c r="M424" s="12">
        <f>MAX((Inputs!F$25*POWER(1+(Inputs!$C$3-(Inputs!$C$3*(('Steady State'!$A424-1)/Inputs!$C$4))),'Steady State'!$A424-1)),M423)</f>
        <v>48712.842776949758</v>
      </c>
      <c r="N424" s="12">
        <f>MAX((Inputs!G$25*POWER(1+(Inputs!$C$3-(Inputs!$C$3*(('Steady State'!$A424-1)/Inputs!$C$4))),'Steady State'!$A424-1)),N423)</f>
        <v>20876.932618692754</v>
      </c>
      <c r="O424" s="12">
        <v>0</v>
      </c>
      <c r="P424" s="12">
        <v>0</v>
      </c>
    </row>
    <row r="425" spans="1:16" x14ac:dyDescent="0.35">
      <c r="A425">
        <v>423</v>
      </c>
      <c r="C425" s="14">
        <f t="shared" si="25"/>
        <v>1038668.0562250369</v>
      </c>
      <c r="D425" s="14">
        <f t="shared" si="26"/>
        <v>880952.27812564385</v>
      </c>
      <c r="E425" s="14">
        <f t="shared" si="27"/>
        <v>47990.267901541272</v>
      </c>
      <c r="F425" s="14">
        <f t="shared" si="24"/>
        <v>69586.043088974868</v>
      </c>
      <c r="H425" s="14" cm="1">
        <f t="array" ref="H425:K425">MMULT($C424:$F424,P_Matrix)</f>
        <v>989955.2134480871</v>
      </c>
      <c r="I425" s="14">
        <v>860075.3455069511</v>
      </c>
      <c r="J425" s="14">
        <v>47990.267901541272</v>
      </c>
      <c r="K425" s="14">
        <v>139171.94727719398</v>
      </c>
      <c r="M425" s="12">
        <f>MAX((Inputs!F$25*POWER(1+(Inputs!$C$3-(Inputs!$C$3*(('Steady State'!$A425-1)/Inputs!$C$4))),'Steady State'!$A425-1)),M424)</f>
        <v>48712.842776949758</v>
      </c>
      <c r="N425" s="12">
        <f>MAX((Inputs!G$25*POWER(1+(Inputs!$C$3-(Inputs!$C$3*(('Steady State'!$A425-1)/Inputs!$C$4))),'Steady State'!$A425-1)),N424)</f>
        <v>20876.932618692754</v>
      </c>
      <c r="O425" s="12">
        <v>0</v>
      </c>
      <c r="P425" s="12">
        <v>0</v>
      </c>
    </row>
    <row r="426" spans="1:16" x14ac:dyDescent="0.35">
      <c r="A426">
        <v>424</v>
      </c>
      <c r="C426" s="14">
        <f t="shared" si="25"/>
        <v>1038669.365199895</v>
      </c>
      <c r="D426" s="14">
        <f t="shared" si="26"/>
        <v>880954.4713576322</v>
      </c>
      <c r="E426" s="14">
        <f t="shared" si="27"/>
        <v>47990.364084431567</v>
      </c>
      <c r="F426" s="14">
        <f t="shared" si="24"/>
        <v>69586.177005905745</v>
      </c>
      <c r="H426" s="14" cm="1">
        <f t="array" ref="H426:K426">MMULT($C425:$F425,P_Matrix)</f>
        <v>989956.52242294524</v>
      </c>
      <c r="I426" s="14">
        <v>860077.53873893945</v>
      </c>
      <c r="J426" s="14">
        <v>47990.364084431567</v>
      </c>
      <c r="K426" s="14">
        <v>139172.22009488061</v>
      </c>
      <c r="M426" s="12">
        <f>MAX((Inputs!F$25*POWER(1+(Inputs!$C$3-(Inputs!$C$3*(('Steady State'!$A426-1)/Inputs!$C$4))),'Steady State'!$A426-1)),M425)</f>
        <v>48712.842776949758</v>
      </c>
      <c r="N426" s="12">
        <f>MAX((Inputs!G$25*POWER(1+(Inputs!$C$3-(Inputs!$C$3*(('Steady State'!$A426-1)/Inputs!$C$4))),'Steady State'!$A426-1)),N425)</f>
        <v>20876.932618692754</v>
      </c>
      <c r="O426" s="12">
        <v>0</v>
      </c>
      <c r="P426" s="12">
        <v>0</v>
      </c>
    </row>
    <row r="427" spans="1:16" x14ac:dyDescent="0.35">
      <c r="A427">
        <v>425</v>
      </c>
      <c r="C427" s="14">
        <f t="shared" si="25"/>
        <v>1038670.6271868704</v>
      </c>
      <c r="D427" s="14">
        <f t="shared" si="26"/>
        <v>880956.58591666282</v>
      </c>
      <c r="E427" s="14">
        <f t="shared" si="27"/>
        <v>47990.456816234211</v>
      </c>
      <c r="F427" s="14">
        <f t="shared" si="24"/>
        <v>69586.306117833708</v>
      </c>
      <c r="H427" s="14" cm="1">
        <f t="array" ref="H427:K427">MMULT($C426:$F426,P_Matrix)</f>
        <v>989957.78440992068</v>
      </c>
      <c r="I427" s="14">
        <v>860079.65329797007</v>
      </c>
      <c r="J427" s="14">
        <v>47990.456816234211</v>
      </c>
      <c r="K427" s="14">
        <v>139172.48312373945</v>
      </c>
      <c r="M427" s="12">
        <f>MAX((Inputs!F$25*POWER(1+(Inputs!$C$3-(Inputs!$C$3*(('Steady State'!$A427-1)/Inputs!$C$4))),'Steady State'!$A427-1)),M426)</f>
        <v>48712.842776949758</v>
      </c>
      <c r="N427" s="12">
        <f>MAX((Inputs!G$25*POWER(1+(Inputs!$C$3-(Inputs!$C$3*(('Steady State'!$A427-1)/Inputs!$C$4))),'Steady State'!$A427-1)),N426)</f>
        <v>20876.932618692754</v>
      </c>
      <c r="O427" s="12">
        <v>0</v>
      </c>
      <c r="P427" s="12">
        <v>0</v>
      </c>
    </row>
    <row r="428" spans="1:16" x14ac:dyDescent="0.35">
      <c r="A428">
        <v>426</v>
      </c>
      <c r="C428" s="14">
        <f t="shared" si="25"/>
        <v>1038671.8438733979</v>
      </c>
      <c r="D428" s="14">
        <f t="shared" si="26"/>
        <v>880958.62462407164</v>
      </c>
      <c r="E428" s="14">
        <f t="shared" si="27"/>
        <v>47990.546220775861</v>
      </c>
      <c r="F428" s="14">
        <f t="shared" si="24"/>
        <v>69586.430597164552</v>
      </c>
      <c r="H428" s="14" cm="1">
        <f t="array" ref="H428:K428">MMULT($C427:$F427,P_Matrix)</f>
        <v>989959.00109644816</v>
      </c>
      <c r="I428" s="14">
        <v>860081.69200537889</v>
      </c>
      <c r="J428" s="14">
        <v>47990.546220775861</v>
      </c>
      <c r="K428" s="14">
        <v>139172.73671499826</v>
      </c>
      <c r="M428" s="12">
        <f>MAX((Inputs!F$25*POWER(1+(Inputs!$C$3-(Inputs!$C$3*(('Steady State'!$A428-1)/Inputs!$C$4))),'Steady State'!$A428-1)),M427)</f>
        <v>48712.842776949758</v>
      </c>
      <c r="N428" s="12">
        <f>MAX((Inputs!G$25*POWER(1+(Inputs!$C$3-(Inputs!$C$3*(('Steady State'!$A428-1)/Inputs!$C$4))),'Steady State'!$A428-1)),N427)</f>
        <v>20876.932618692754</v>
      </c>
      <c r="O428" s="12">
        <v>0</v>
      </c>
      <c r="P428" s="12">
        <v>0</v>
      </c>
    </row>
    <row r="429" spans="1:16" x14ac:dyDescent="0.35">
      <c r="A429">
        <v>427</v>
      </c>
      <c r="C429" s="14">
        <f t="shared" si="25"/>
        <v>1038673.0168862621</v>
      </c>
      <c r="D429" s="14">
        <f t="shared" si="26"/>
        <v>880960.5902000675</v>
      </c>
      <c r="E429" s="14">
        <f t="shared" si="27"/>
        <v>47990.632417440211</v>
      </c>
      <c r="F429" s="14">
        <f t="shared" si="24"/>
        <v>69586.550610118051</v>
      </c>
      <c r="H429" s="14" cm="1">
        <f t="array" ref="H429:K429">MMULT($C428:$F428,P_Matrix)</f>
        <v>989960.17410931236</v>
      </c>
      <c r="I429" s="14">
        <v>860083.65758137475</v>
      </c>
      <c r="J429" s="14">
        <v>47990.632417440211</v>
      </c>
      <c r="K429" s="14">
        <v>139172.9812072826</v>
      </c>
      <c r="M429" s="12">
        <f>MAX((Inputs!F$25*POWER(1+(Inputs!$C$3-(Inputs!$C$3*(('Steady State'!$A429-1)/Inputs!$C$4))),'Steady State'!$A429-1)),M428)</f>
        <v>48712.842776949758</v>
      </c>
      <c r="N429" s="12">
        <f>MAX((Inputs!G$25*POWER(1+(Inputs!$C$3-(Inputs!$C$3*(('Steady State'!$A429-1)/Inputs!$C$4))),'Steady State'!$A429-1)),N428)</f>
        <v>20876.932618692754</v>
      </c>
      <c r="O429" s="12">
        <v>0</v>
      </c>
      <c r="P429" s="12">
        <v>0</v>
      </c>
    </row>
    <row r="430" spans="1:16" x14ac:dyDescent="0.35">
      <c r="A430">
        <v>428</v>
      </c>
      <c r="C430" s="14">
        <f t="shared" si="25"/>
        <v>1038674.1477937808</v>
      </c>
      <c r="D430" s="14">
        <f t="shared" si="26"/>
        <v>880962.48526735406</v>
      </c>
      <c r="E430" s="14">
        <f t="shared" si="27"/>
        <v>47990.715521327424</v>
      </c>
      <c r="F430" s="14">
        <f t="shared" si="24"/>
        <v>69586.666316949937</v>
      </c>
      <c r="H430" s="14" cm="1">
        <f t="array" ref="H430:K430">MMULT($C429:$F429,P_Matrix)</f>
        <v>989961.30501683103</v>
      </c>
      <c r="I430" s="14">
        <v>860085.55264866131</v>
      </c>
      <c r="J430" s="14">
        <v>47990.715521327424</v>
      </c>
      <c r="K430" s="14">
        <v>139173.21692706799</v>
      </c>
      <c r="M430" s="12">
        <f>MAX((Inputs!F$25*POWER(1+(Inputs!$C$3-(Inputs!$C$3*(('Steady State'!$A430-1)/Inputs!$C$4))),'Steady State'!$A430-1)),M429)</f>
        <v>48712.842776949758</v>
      </c>
      <c r="N430" s="12">
        <f>MAX((Inputs!G$25*POWER(1+(Inputs!$C$3-(Inputs!$C$3*(('Steady State'!$A430-1)/Inputs!$C$4))),'Steady State'!$A430-1)),N429)</f>
        <v>20876.932618692754</v>
      </c>
      <c r="O430" s="12">
        <v>0</v>
      </c>
      <c r="P430" s="12">
        <v>0</v>
      </c>
    </row>
    <row r="431" spans="1:16" x14ac:dyDescent="0.35">
      <c r="A431">
        <v>429</v>
      </c>
      <c r="C431" s="14">
        <f t="shared" si="25"/>
        <v>1038675.2381079098</v>
      </c>
      <c r="D431" s="14">
        <f t="shared" si="26"/>
        <v>880964.31235462101</v>
      </c>
      <c r="E431" s="14">
        <f t="shared" si="27"/>
        <v>47990.795643407808</v>
      </c>
      <c r="F431" s="14">
        <f t="shared" si="24"/>
        <v>69586.777872165898</v>
      </c>
      <c r="H431" s="14" cm="1">
        <f t="array" ref="H431:K431">MMULT($C430:$F430,P_Matrix)</f>
        <v>989962.39533096005</v>
      </c>
      <c r="I431" s="14">
        <v>860087.37973592826</v>
      </c>
      <c r="J431" s="14">
        <v>47990.795643407808</v>
      </c>
      <c r="K431" s="14">
        <v>139173.44418911583</v>
      </c>
      <c r="M431" s="12">
        <f>MAX((Inputs!F$25*POWER(1+(Inputs!$C$3-(Inputs!$C$3*(('Steady State'!$A431-1)/Inputs!$C$4))),'Steady State'!$A431-1)),M430)</f>
        <v>48712.842776949758</v>
      </c>
      <c r="N431" s="12">
        <f>MAX((Inputs!G$25*POWER(1+(Inputs!$C$3-(Inputs!$C$3*(('Steady State'!$A431-1)/Inputs!$C$4))),'Steady State'!$A431-1)),N430)</f>
        <v>20876.932618692754</v>
      </c>
      <c r="O431" s="12">
        <v>0</v>
      </c>
      <c r="P431" s="12">
        <v>0</v>
      </c>
    </row>
    <row r="432" spans="1:16" x14ac:dyDescent="0.35">
      <c r="A432">
        <v>430</v>
      </c>
      <c r="C432" s="14">
        <f t="shared" si="25"/>
        <v>1038676.2892862719</v>
      </c>
      <c r="D432" s="14">
        <f t="shared" si="26"/>
        <v>880966.07389991125</v>
      </c>
      <c r="E432" s="14">
        <f t="shared" si="27"/>
        <v>47990.872890669998</v>
      </c>
      <c r="F432" s="14">
        <f t="shared" si="24"/>
        <v>69586.885424727865</v>
      </c>
      <c r="H432" s="14" cm="1">
        <f t="array" ref="H432:K432">MMULT($C431:$F431,P_Matrix)</f>
        <v>989963.44650932215</v>
      </c>
      <c r="I432" s="14">
        <v>860089.1412812185</v>
      </c>
      <c r="J432" s="14">
        <v>47990.872890669998</v>
      </c>
      <c r="K432" s="14">
        <v>139173.66329689376</v>
      </c>
      <c r="M432" s="12">
        <f>MAX((Inputs!F$25*POWER(1+(Inputs!$C$3-(Inputs!$C$3*(('Steady State'!$A432-1)/Inputs!$C$4))),'Steady State'!$A432-1)),M431)</f>
        <v>48712.842776949758</v>
      </c>
      <c r="N432" s="12">
        <f>MAX((Inputs!G$25*POWER(1+(Inputs!$C$3-(Inputs!$C$3*(('Steady State'!$A432-1)/Inputs!$C$4))),'Steady State'!$A432-1)),N431)</f>
        <v>20876.932618692754</v>
      </c>
      <c r="O432" s="12">
        <v>0</v>
      </c>
      <c r="P432" s="12">
        <v>0</v>
      </c>
    </row>
    <row r="433" spans="1:16" x14ac:dyDescent="0.35">
      <c r="A433">
        <v>431</v>
      </c>
      <c r="C433" s="14">
        <f t="shared" si="25"/>
        <v>1038677.3027341114</v>
      </c>
      <c r="D433" s="14">
        <f t="shared" si="26"/>
        <v>880967.77225386736</v>
      </c>
      <c r="E433" s="14">
        <f t="shared" si="27"/>
        <v>47990.947366263834</v>
      </c>
      <c r="F433" s="14">
        <f t="shared" si="24"/>
        <v>69586.989118252997</v>
      </c>
      <c r="H433" s="14" cm="1">
        <f t="array" ref="H433:K433">MMULT($C432:$F432,P_Matrix)</f>
        <v>989964.45995716169</v>
      </c>
      <c r="I433" s="14">
        <v>860090.83963517461</v>
      </c>
      <c r="J433" s="14">
        <v>47990.947366263834</v>
      </c>
      <c r="K433" s="14">
        <v>139173.87454298086</v>
      </c>
      <c r="M433" s="12">
        <f>MAX((Inputs!F$25*POWER(1+(Inputs!$C$3-(Inputs!$C$3*(('Steady State'!$A433-1)/Inputs!$C$4))),'Steady State'!$A433-1)),M432)</f>
        <v>48712.842776949758</v>
      </c>
      <c r="N433" s="12">
        <f>MAX((Inputs!G$25*POWER(1+(Inputs!$C$3-(Inputs!$C$3*(('Steady State'!$A433-1)/Inputs!$C$4))),'Steady State'!$A433-1)),N432)</f>
        <v>20876.932618692754</v>
      </c>
      <c r="O433" s="12">
        <v>0</v>
      </c>
      <c r="P433" s="12">
        <v>0</v>
      </c>
    </row>
    <row r="434" spans="1:16" x14ac:dyDescent="0.35">
      <c r="A434">
        <v>432</v>
      </c>
      <c r="C434" s="14">
        <f t="shared" si="25"/>
        <v>1038678.2798061796</v>
      </c>
      <c r="D434" s="14">
        <f t="shared" si="26"/>
        <v>880969.40968286211</v>
      </c>
      <c r="E434" s="14">
        <f t="shared" si="27"/>
        <v>47991.019169638093</v>
      </c>
      <c r="F434" s="14">
        <f t="shared" si="24"/>
        <v>69587.089091205329</v>
      </c>
      <c r="H434" s="14" cm="1">
        <f t="array" ref="H434:K434">MMULT($C433:$F433,P_Matrix)</f>
        <v>989965.43702922983</v>
      </c>
      <c r="I434" s="14">
        <v>860092.47706416936</v>
      </c>
      <c r="J434" s="14">
        <v>47991.019169638093</v>
      </c>
      <c r="K434" s="14">
        <v>139174.07820945833</v>
      </c>
      <c r="M434" s="12">
        <f>MAX((Inputs!F$25*POWER(1+(Inputs!$C$3-(Inputs!$C$3*(('Steady State'!$A434-1)/Inputs!$C$4))),'Steady State'!$A434-1)),M433)</f>
        <v>48712.842776949758</v>
      </c>
      <c r="N434" s="12">
        <f>MAX((Inputs!G$25*POWER(1+(Inputs!$C$3-(Inputs!$C$3*(('Steady State'!$A434-1)/Inputs!$C$4))),'Steady State'!$A434-1)),N433)</f>
        <v>20876.932618692754</v>
      </c>
      <c r="O434" s="12">
        <v>0</v>
      </c>
      <c r="P434" s="12">
        <v>0</v>
      </c>
    </row>
    <row r="435" spans="1:16" x14ac:dyDescent="0.35">
      <c r="A435">
        <v>433</v>
      </c>
      <c r="C435" s="14">
        <f t="shared" si="25"/>
        <v>1038679.2218085509</v>
      </c>
      <c r="D435" s="14">
        <f t="shared" si="26"/>
        <v>880970.98837201716</v>
      </c>
      <c r="E435" s="14">
        <f t="shared" si="27"/>
        <v>47991.088396673273</v>
      </c>
      <c r="F435" s="14">
        <f t="shared" si="24"/>
        <v>69587.185477080755</v>
      </c>
      <c r="H435" s="14" cm="1">
        <f t="array" ref="H435:K435">MMULT($C434:$F434,P_Matrix)</f>
        <v>989966.37903160113</v>
      </c>
      <c r="I435" s="14">
        <v>860094.05575332441</v>
      </c>
      <c r="J435" s="14">
        <v>47991.088396673273</v>
      </c>
      <c r="K435" s="14">
        <v>139174.27456828608</v>
      </c>
      <c r="M435" s="12">
        <f>MAX((Inputs!F$25*POWER(1+(Inputs!$C$3-(Inputs!$C$3*(('Steady State'!$A435-1)/Inputs!$C$4))),'Steady State'!$A435-1)),M434)</f>
        <v>48712.842776949758</v>
      </c>
      <c r="N435" s="12">
        <f>MAX((Inputs!G$25*POWER(1+(Inputs!$C$3-(Inputs!$C$3*(('Steady State'!$A435-1)/Inputs!$C$4))),'Steady State'!$A435-1)),N434)</f>
        <v>20876.932618692754</v>
      </c>
      <c r="O435" s="12">
        <v>0</v>
      </c>
      <c r="P435" s="12">
        <v>0</v>
      </c>
    </row>
    <row r="436" spans="1:16" x14ac:dyDescent="0.35">
      <c r="A436">
        <v>434</v>
      </c>
      <c r="C436" s="14">
        <f t="shared" si="25"/>
        <v>1038680.130000375</v>
      </c>
      <c r="D436" s="14">
        <f t="shared" si="26"/>
        <v>880972.51042811375</v>
      </c>
      <c r="E436" s="14">
        <f t="shared" si="27"/>
        <v>47991.155139809642</v>
      </c>
      <c r="F436" s="14">
        <f t="shared" si="24"/>
        <v>69587.278404585377</v>
      </c>
      <c r="H436" s="14" cm="1">
        <f t="array" ref="H436:K436">MMULT($C435:$F435,P_Matrix)</f>
        <v>989967.28722342523</v>
      </c>
      <c r="I436" s="14">
        <v>860095.577809421</v>
      </c>
      <c r="J436" s="14">
        <v>47991.155139809642</v>
      </c>
      <c r="K436" s="14">
        <v>139174.46388166613</v>
      </c>
      <c r="M436" s="12">
        <f>MAX((Inputs!F$25*POWER(1+(Inputs!$C$3-(Inputs!$C$3*(('Steady State'!$A436-1)/Inputs!$C$4))),'Steady State'!$A436-1)),M435)</f>
        <v>48712.842776949758</v>
      </c>
      <c r="N436" s="12">
        <f>MAX((Inputs!G$25*POWER(1+(Inputs!$C$3-(Inputs!$C$3*(('Steady State'!$A436-1)/Inputs!$C$4))),'Steady State'!$A436-1)),N435)</f>
        <v>20876.932618692754</v>
      </c>
      <c r="O436" s="12">
        <v>0</v>
      </c>
      <c r="P436" s="12">
        <v>0</v>
      </c>
    </row>
    <row r="437" spans="1:16" x14ac:dyDescent="0.35">
      <c r="A437">
        <v>435</v>
      </c>
      <c r="C437" s="14">
        <f t="shared" si="25"/>
        <v>1038681.0055955643</v>
      </c>
      <c r="D437" s="14">
        <f t="shared" si="26"/>
        <v>880973.97788239876</v>
      </c>
      <c r="E437" s="14">
        <f t="shared" si="27"/>
        <v>47991.219488170667</v>
      </c>
      <c r="F437" s="14">
        <f t="shared" si="24"/>
        <v>69587.367997807072</v>
      </c>
      <c r="H437" s="14" cm="1">
        <f t="array" ref="H437:K437">MMULT($C436:$F436,P_Matrix)</f>
        <v>989968.16281861451</v>
      </c>
      <c r="I437" s="14">
        <v>860097.04526370601</v>
      </c>
      <c r="J437" s="14">
        <v>47991.219488170667</v>
      </c>
      <c r="K437" s="14">
        <v>139174.64640239245</v>
      </c>
      <c r="M437" s="12">
        <f>MAX((Inputs!F$25*POWER(1+(Inputs!$C$3-(Inputs!$C$3*(('Steady State'!$A437-1)/Inputs!$C$4))),'Steady State'!$A437-1)),M436)</f>
        <v>48712.842776949758</v>
      </c>
      <c r="N437" s="12">
        <f>MAX((Inputs!G$25*POWER(1+(Inputs!$C$3-(Inputs!$C$3*(('Steady State'!$A437-1)/Inputs!$C$4))),'Steady State'!$A437-1)),N436)</f>
        <v>20876.932618692754</v>
      </c>
      <c r="O437" s="12">
        <v>0</v>
      </c>
      <c r="P437" s="12">
        <v>0</v>
      </c>
    </row>
    <row r="438" spans="1:16" x14ac:dyDescent="0.35">
      <c r="A438">
        <v>436</v>
      </c>
      <c r="C438" s="14">
        <f t="shared" si="25"/>
        <v>1038681.8497644212</v>
      </c>
      <c r="D438" s="14">
        <f t="shared" si="26"/>
        <v>880975.39269329142</v>
      </c>
      <c r="E438" s="14">
        <f t="shared" si="27"/>
        <v>47991.281527682033</v>
      </c>
      <c r="F438" s="14">
        <f t="shared" si="24"/>
        <v>69587.45437638156</v>
      </c>
      <c r="H438" s="14" cm="1">
        <f t="array" ref="H438:K438">MMULT($C437:$F437,P_Matrix)</f>
        <v>989969.00698747148</v>
      </c>
      <c r="I438" s="14">
        <v>860098.46007459867</v>
      </c>
      <c r="J438" s="14">
        <v>47991.281527682033</v>
      </c>
      <c r="K438" s="14">
        <v>139174.82237418863</v>
      </c>
      <c r="M438" s="12">
        <f>MAX((Inputs!F$25*POWER(1+(Inputs!$C$3-(Inputs!$C$3*(('Steady State'!$A438-1)/Inputs!$C$4))),'Steady State'!$A438-1)),M437)</f>
        <v>48712.842776949758</v>
      </c>
      <c r="N438" s="12">
        <f>MAX((Inputs!G$25*POWER(1+(Inputs!$C$3-(Inputs!$C$3*(('Steady State'!$A438-1)/Inputs!$C$4))),'Steady State'!$A438-1)),N437)</f>
        <v>20876.932618692754</v>
      </c>
      <c r="O438" s="12">
        <v>0</v>
      </c>
      <c r="P438" s="12">
        <v>0</v>
      </c>
    </row>
    <row r="439" spans="1:16" x14ac:dyDescent="0.35">
      <c r="A439">
        <v>437</v>
      </c>
      <c r="C439" s="14">
        <f t="shared" si="25"/>
        <v>1038682.6636352069</v>
      </c>
      <c r="D439" s="14">
        <f t="shared" si="26"/>
        <v>880976.75674899202</v>
      </c>
      <c r="E439" s="14">
        <f t="shared" si="27"/>
        <v>47991.341341186344</v>
      </c>
      <c r="F439" s="14">
        <f t="shared" si="24"/>
        <v>69587.53765565189</v>
      </c>
      <c r="H439" s="14" cm="1">
        <f t="array" ref="H439:K439">MMULT($C438:$F438,P_Matrix)</f>
        <v>989969.82085825712</v>
      </c>
      <c r="I439" s="14">
        <v>860099.82413029927</v>
      </c>
      <c r="J439" s="14">
        <v>47991.341341186344</v>
      </c>
      <c r="K439" s="14">
        <v>139174.99203203345</v>
      </c>
      <c r="M439" s="12">
        <f>MAX((Inputs!F$25*POWER(1+(Inputs!$C$3-(Inputs!$C$3*(('Steady State'!$A439-1)/Inputs!$C$4))),'Steady State'!$A439-1)),M438)</f>
        <v>48712.842776949758</v>
      </c>
      <c r="N439" s="12">
        <f>MAX((Inputs!G$25*POWER(1+(Inputs!$C$3-(Inputs!$C$3*(('Steady State'!$A439-1)/Inputs!$C$4))),'Steady State'!$A439-1)),N438)</f>
        <v>20876.932618692754</v>
      </c>
      <c r="O439" s="12">
        <v>0</v>
      </c>
      <c r="P439" s="12">
        <v>0</v>
      </c>
    </row>
    <row r="440" spans="1:16" x14ac:dyDescent="0.35">
      <c r="A440">
        <v>438</v>
      </c>
      <c r="C440" s="14">
        <f t="shared" si="25"/>
        <v>1038683.4482956527</v>
      </c>
      <c r="D440" s="14">
        <f t="shared" si="26"/>
        <v>880978.07186999859</v>
      </c>
      <c r="E440" s="14">
        <f t="shared" si="27"/>
        <v>47991.399008553795</v>
      </c>
      <c r="F440" s="14">
        <f t="shared" si="24"/>
        <v>69587.617946822545</v>
      </c>
      <c r="H440" s="14" cm="1">
        <f t="array" ref="H440:K440">MMULT($C439:$F439,P_Matrix)</f>
        <v>989970.605518703</v>
      </c>
      <c r="I440" s="14">
        <v>860101.13925130584</v>
      </c>
      <c r="J440" s="14">
        <v>47991.399008553795</v>
      </c>
      <c r="K440" s="14">
        <v>139175.15560247443</v>
      </c>
      <c r="M440" s="12">
        <f>MAX((Inputs!F$25*POWER(1+(Inputs!$C$3-(Inputs!$C$3*(('Steady State'!$A440-1)/Inputs!$C$4))),'Steady State'!$A440-1)),M439)</f>
        <v>48712.842776949758</v>
      </c>
      <c r="N440" s="12">
        <f>MAX((Inputs!G$25*POWER(1+(Inputs!$C$3-(Inputs!$C$3*(('Steady State'!$A440-1)/Inputs!$C$4))),'Steady State'!$A440-1)),N439)</f>
        <v>20876.932618692754</v>
      </c>
      <c r="O440" s="12">
        <v>0</v>
      </c>
      <c r="P440" s="12">
        <v>0</v>
      </c>
    </row>
    <row r="441" spans="1:16" x14ac:dyDescent="0.35">
      <c r="A441">
        <v>439</v>
      </c>
      <c r="C441" s="14">
        <f t="shared" si="25"/>
        <v>1038684.2047944186</v>
      </c>
      <c r="D441" s="14">
        <f t="shared" si="26"/>
        <v>880979.33981153218</v>
      </c>
      <c r="E441" s="14">
        <f t="shared" si="27"/>
        <v>47991.454606788786</v>
      </c>
      <c r="F441" s="14">
        <f t="shared" si="24"/>
        <v>69587.695357107994</v>
      </c>
      <c r="H441" s="14" cm="1">
        <f t="array" ref="H441:K441">MMULT($C440:$F440,P_Matrix)</f>
        <v>989971.3620174689</v>
      </c>
      <c r="I441" s="14">
        <v>860102.40719283943</v>
      </c>
      <c r="J441" s="14">
        <v>47991.454606788786</v>
      </c>
      <c r="K441" s="14">
        <v>139175.31330393054</v>
      </c>
      <c r="M441" s="12">
        <f>MAX((Inputs!F$25*POWER(1+(Inputs!$C$3-(Inputs!$C$3*(('Steady State'!$A441-1)/Inputs!$C$4))),'Steady State'!$A441-1)),M440)</f>
        <v>48712.842776949758</v>
      </c>
      <c r="N441" s="12">
        <f>MAX((Inputs!G$25*POWER(1+(Inputs!$C$3-(Inputs!$C$3*(('Steady State'!$A441-1)/Inputs!$C$4))),'Steady State'!$A441-1)),N440)</f>
        <v>20876.932618692754</v>
      </c>
      <c r="O441" s="12">
        <v>0</v>
      </c>
      <c r="P441" s="12">
        <v>0</v>
      </c>
    </row>
    <row r="442" spans="1:16" x14ac:dyDescent="0.35">
      <c r="A442">
        <v>440</v>
      </c>
      <c r="C442" s="14">
        <f t="shared" si="25"/>
        <v>1038684.9341424974</v>
      </c>
      <c r="D442" s="14">
        <f t="shared" si="26"/>
        <v>880980.56226587621</v>
      </c>
      <c r="E442" s="14">
        <f t="shared" si="27"/>
        <v>47991.508210132786</v>
      </c>
      <c r="F442" s="14">
        <f t="shared" si="24"/>
        <v>69587.769989875727</v>
      </c>
      <c r="H442" s="14" cm="1">
        <f t="array" ref="H442:K442">MMULT($C441:$F441,P_Matrix)</f>
        <v>989972.09136554762</v>
      </c>
      <c r="I442" s="14">
        <v>860103.62964718346</v>
      </c>
      <c r="J442" s="14">
        <v>47991.508210132786</v>
      </c>
      <c r="K442" s="14">
        <v>139175.46534698372</v>
      </c>
      <c r="M442" s="12">
        <f>MAX((Inputs!F$25*POWER(1+(Inputs!$C$3-(Inputs!$C$3*(('Steady State'!$A442-1)/Inputs!$C$4))),'Steady State'!$A442-1)),M441)</f>
        <v>48712.842776949758</v>
      </c>
      <c r="N442" s="12">
        <f>MAX((Inputs!G$25*POWER(1+(Inputs!$C$3-(Inputs!$C$3*(('Steady State'!$A442-1)/Inputs!$C$4))),'Steady State'!$A442-1)),N441)</f>
        <v>20876.932618692754</v>
      </c>
      <c r="O442" s="12">
        <v>0</v>
      </c>
      <c r="P442" s="12">
        <v>0</v>
      </c>
    </row>
    <row r="443" spans="1:16" x14ac:dyDescent="0.35">
      <c r="A443">
        <v>441</v>
      </c>
      <c r="C443" s="14">
        <f t="shared" si="25"/>
        <v>1038685.6373145693</v>
      </c>
      <c r="D443" s="14">
        <f t="shared" si="26"/>
        <v>880981.74086463184</v>
      </c>
      <c r="E443" s="14">
        <f t="shared" si="27"/>
        <v>47991.559890163408</v>
      </c>
      <c r="F443" s="14">
        <f t="shared" si="24"/>
        <v>69587.841944784392</v>
      </c>
      <c r="H443" s="14" cm="1">
        <f t="array" ref="H443:K443">MMULT($C442:$F442,P_Matrix)</f>
        <v>989972.79453761957</v>
      </c>
      <c r="I443" s="14">
        <v>860104.80824593909</v>
      </c>
      <c r="J443" s="14">
        <v>47991.559890163408</v>
      </c>
      <c r="K443" s="14">
        <v>139175.61193466012</v>
      </c>
      <c r="M443" s="12">
        <f>MAX((Inputs!F$25*POWER(1+(Inputs!$C$3-(Inputs!$C$3*(('Steady State'!$A443-1)/Inputs!$C$4))),'Steady State'!$A443-1)),M442)</f>
        <v>48712.842776949758</v>
      </c>
      <c r="N443" s="12">
        <f>MAX((Inputs!G$25*POWER(1+(Inputs!$C$3-(Inputs!$C$3*(('Steady State'!$A443-1)/Inputs!$C$4))),'Steady State'!$A443-1)),N442)</f>
        <v>20876.932618692754</v>
      </c>
      <c r="O443" s="12">
        <v>0</v>
      </c>
      <c r="P443" s="12">
        <v>0</v>
      </c>
    </row>
    <row r="444" spans="1:16" x14ac:dyDescent="0.35">
      <c r="A444">
        <v>442</v>
      </c>
      <c r="C444" s="14">
        <f t="shared" si="25"/>
        <v>1038686.3152503074</v>
      </c>
      <c r="D444" s="14">
        <f t="shared" si="26"/>
        <v>880982.87718089262</v>
      </c>
      <c r="E444" s="14">
        <f t="shared" si="27"/>
        <v>47991.609715890059</v>
      </c>
      <c r="F444" s="14">
        <f t="shared" si="24"/>
        <v>69587.911317916878</v>
      </c>
      <c r="H444" s="14" cm="1">
        <f t="array" ref="H444:K444">MMULT($C443:$F443,P_Matrix)</f>
        <v>989973.47247335769</v>
      </c>
      <c r="I444" s="14">
        <v>860105.94456219987</v>
      </c>
      <c r="J444" s="14">
        <v>47991.609715890059</v>
      </c>
      <c r="K444" s="14">
        <v>139175.75326270127</v>
      </c>
      <c r="M444" s="12">
        <f>MAX((Inputs!F$25*POWER(1+(Inputs!$C$3-(Inputs!$C$3*(('Steady State'!$A444-1)/Inputs!$C$4))),'Steady State'!$A444-1)),M443)</f>
        <v>48712.842776949758</v>
      </c>
      <c r="N444" s="12">
        <f>MAX((Inputs!G$25*POWER(1+(Inputs!$C$3-(Inputs!$C$3*(('Steady State'!$A444-1)/Inputs!$C$4))),'Steady State'!$A444-1)),N443)</f>
        <v>20876.932618692754</v>
      </c>
      <c r="O444" s="12">
        <v>0</v>
      </c>
      <c r="P444" s="12">
        <v>0</v>
      </c>
    </row>
    <row r="445" spans="1:16" x14ac:dyDescent="0.35">
      <c r="A445">
        <v>443</v>
      </c>
      <c r="C445" s="14">
        <f t="shared" si="25"/>
        <v>1038686.9688556367</v>
      </c>
      <c r="D445" s="14">
        <f t="shared" si="26"/>
        <v>880983.97273134138</v>
      </c>
      <c r="E445" s="14">
        <f t="shared" si="27"/>
        <v>47991.657753846033</v>
      </c>
      <c r="F445" s="14">
        <f t="shared" si="24"/>
        <v>69587.978201908525</v>
      </c>
      <c r="H445" s="14" cm="1">
        <f t="array" ref="H445:K445">MMULT($C444:$F444,P_Matrix)</f>
        <v>989974.12607868691</v>
      </c>
      <c r="I445" s="14">
        <v>860107.04011264862</v>
      </c>
      <c r="J445" s="14">
        <v>47991.657753846033</v>
      </c>
      <c r="K445" s="14">
        <v>139175.8895198254</v>
      </c>
      <c r="M445" s="12">
        <f>MAX((Inputs!F$25*POWER(1+(Inputs!$C$3-(Inputs!$C$3*(('Steady State'!$A445-1)/Inputs!$C$4))),'Steady State'!$A445-1)),M444)</f>
        <v>48712.842776949758</v>
      </c>
      <c r="N445" s="12">
        <f>MAX((Inputs!G$25*POWER(1+(Inputs!$C$3-(Inputs!$C$3*(('Steady State'!$A445-1)/Inputs!$C$4))),'Steady State'!$A445-1)),N444)</f>
        <v>20876.932618692754</v>
      </c>
      <c r="O445" s="12">
        <v>0</v>
      </c>
      <c r="P445" s="12">
        <v>0</v>
      </c>
    </row>
    <row r="446" spans="1:16" x14ac:dyDescent="0.35">
      <c r="A446">
        <v>444</v>
      </c>
      <c r="C446" s="14">
        <f t="shared" si="25"/>
        <v>1038687.5990039462</v>
      </c>
      <c r="D446" s="14">
        <f t="shared" si="26"/>
        <v>880985.02897827199</v>
      </c>
      <c r="E446" s="14">
        <f t="shared" si="27"/>
        <v>47991.704068177394</v>
      </c>
      <c r="F446" s="14">
        <f t="shared" si="24"/>
        <v>69588.042686070839</v>
      </c>
      <c r="H446" s="14" cm="1">
        <f t="array" ref="H446:K446">MMULT($C445:$F445,P_Matrix)</f>
        <v>989974.75622699643</v>
      </c>
      <c r="I446" s="14">
        <v>860108.09635957924</v>
      </c>
      <c r="J446" s="14">
        <v>47991.704068177394</v>
      </c>
      <c r="K446" s="14">
        <v>139176.02088797936</v>
      </c>
      <c r="M446" s="12">
        <f>MAX((Inputs!F$25*POWER(1+(Inputs!$C$3-(Inputs!$C$3*(('Steady State'!$A446-1)/Inputs!$C$4))),'Steady State'!$A446-1)),M445)</f>
        <v>48712.842776949758</v>
      </c>
      <c r="N446" s="12">
        <f>MAX((Inputs!G$25*POWER(1+(Inputs!$C$3-(Inputs!$C$3*(('Steady State'!$A446-1)/Inputs!$C$4))),'Steady State'!$A446-1)),N445)</f>
        <v>20876.932618692754</v>
      </c>
      <c r="O446" s="12">
        <v>0</v>
      </c>
      <c r="P446" s="12">
        <v>0</v>
      </c>
    </row>
    <row r="447" spans="1:16" x14ac:dyDescent="0.35">
      <c r="A447">
        <v>445</v>
      </c>
      <c r="C447" s="14">
        <f t="shared" si="25"/>
        <v>1038688.2065372595</v>
      </c>
      <c r="D447" s="14">
        <f t="shared" si="26"/>
        <v>880986.04733153887</v>
      </c>
      <c r="E447" s="14">
        <f t="shared" si="27"/>
        <v>47991.748720728618</v>
      </c>
      <c r="F447" s="14">
        <f t="shared" si="24"/>
        <v>69588.104856510879</v>
      </c>
      <c r="H447" s="14" cm="1">
        <f t="array" ref="H447:K447">MMULT($C446:$F446,P_Matrix)</f>
        <v>989975.36376030976</v>
      </c>
      <c r="I447" s="14">
        <v>860109.11471284612</v>
      </c>
      <c r="J447" s="14">
        <v>47991.748720728618</v>
      </c>
      <c r="K447" s="14">
        <v>139176.14754258172</v>
      </c>
      <c r="M447" s="12">
        <f>MAX((Inputs!F$25*POWER(1+(Inputs!$C$3-(Inputs!$C$3*(('Steady State'!$A447-1)/Inputs!$C$4))),'Steady State'!$A447-1)),M446)</f>
        <v>48712.842776949758</v>
      </c>
      <c r="N447" s="12">
        <f>MAX((Inputs!G$25*POWER(1+(Inputs!$C$3-(Inputs!$C$3*(('Steady State'!$A447-1)/Inputs!$C$4))),'Steady State'!$A447-1)),N446)</f>
        <v>20876.932618692754</v>
      </c>
      <c r="O447" s="12">
        <v>0</v>
      </c>
      <c r="P447" s="12">
        <v>0</v>
      </c>
    </row>
    <row r="448" spans="1:16" x14ac:dyDescent="0.35">
      <c r="A448">
        <v>446</v>
      </c>
      <c r="C448" s="14">
        <f t="shared" si="25"/>
        <v>1038688.7922673619</v>
      </c>
      <c r="D448" s="14">
        <f t="shared" si="26"/>
        <v>880987.02915043628</v>
      </c>
      <c r="E448" s="14">
        <f t="shared" si="27"/>
        <v>47991.79177112515</v>
      </c>
      <c r="F448" s="14">
        <f t="shared" si="24"/>
        <v>69588.164796246099</v>
      </c>
      <c r="H448" s="14" cm="1">
        <f t="array" ref="H448:K448">MMULT($C447:$F447,P_Matrix)</f>
        <v>989975.94949041214</v>
      </c>
      <c r="I448" s="14">
        <v>860110.09653174353</v>
      </c>
      <c r="J448" s="14">
        <v>47991.79177112515</v>
      </c>
      <c r="K448" s="14">
        <v>139176.26965275698</v>
      </c>
      <c r="M448" s="12">
        <f>MAX((Inputs!F$25*POWER(1+(Inputs!$C$3-(Inputs!$C$3*(('Steady State'!$A448-1)/Inputs!$C$4))),'Steady State'!$A448-1)),M447)</f>
        <v>48712.842776949758</v>
      </c>
      <c r="N448" s="12">
        <f>MAX((Inputs!G$25*POWER(1+(Inputs!$C$3-(Inputs!$C$3*(('Steady State'!$A448-1)/Inputs!$C$4))),'Steady State'!$A448-1)),N447)</f>
        <v>20876.932618692754</v>
      </c>
      <c r="O448" s="12">
        <v>0</v>
      </c>
      <c r="P448" s="12">
        <v>0</v>
      </c>
    </row>
    <row r="449" spans="1:16" x14ac:dyDescent="0.35">
      <c r="A449">
        <v>447</v>
      </c>
      <c r="C449" s="14">
        <f t="shared" si="25"/>
        <v>1038689.3569768867</v>
      </c>
      <c r="D449" s="14">
        <f t="shared" si="26"/>
        <v>880987.97574551054</v>
      </c>
      <c r="E449" s="14">
        <f t="shared" si="27"/>
        <v>47991.833276853067</v>
      </c>
      <c r="F449" s="14">
        <f t="shared" si="24"/>
        <v>69588.222585315234</v>
      </c>
      <c r="H449" s="14" cm="1">
        <f t="array" ref="H449:K449">MMULT($C448:$F448,P_Matrix)</f>
        <v>989976.514199937</v>
      </c>
      <c r="I449" s="14">
        <v>860111.04312681779</v>
      </c>
      <c r="J449" s="14">
        <v>47991.833276853067</v>
      </c>
      <c r="K449" s="14">
        <v>139176.38738156133</v>
      </c>
      <c r="M449" s="12">
        <f>MAX((Inputs!F$25*POWER(1+(Inputs!$C$3-(Inputs!$C$3*(('Steady State'!$A449-1)/Inputs!$C$4))),'Steady State'!$A449-1)),M448)</f>
        <v>48712.842776949758</v>
      </c>
      <c r="N449" s="12">
        <f>MAX((Inputs!G$25*POWER(1+(Inputs!$C$3-(Inputs!$C$3*(('Steady State'!$A449-1)/Inputs!$C$4))),'Steady State'!$A449-1)),N448)</f>
        <v>20876.932618692754</v>
      </c>
      <c r="O449" s="12">
        <v>0</v>
      </c>
      <c r="P449" s="12">
        <v>0</v>
      </c>
    </row>
    <row r="450" spans="1:16" x14ac:dyDescent="0.35">
      <c r="A450">
        <v>448</v>
      </c>
      <c r="C450" s="14">
        <f t="shared" si="25"/>
        <v>1038689.9014203637</v>
      </c>
      <c r="D450" s="14">
        <f t="shared" si="26"/>
        <v>880988.88838030817</v>
      </c>
      <c r="E450" s="14">
        <f t="shared" si="27"/>
        <v>47991.873293335811</v>
      </c>
      <c r="F450" s="14">
        <f t="shared" si="24"/>
        <v>69588.278300885169</v>
      </c>
      <c r="H450" s="14" cm="1">
        <f t="array" ref="H450:K450">MMULT($C449:$F449,P_Matrix)</f>
        <v>989977.05864341394</v>
      </c>
      <c r="I450" s="14">
        <v>860111.95576161542</v>
      </c>
      <c r="J450" s="14">
        <v>47991.873293335811</v>
      </c>
      <c r="K450" s="14">
        <v>139176.5008862004</v>
      </c>
      <c r="M450" s="12">
        <f>MAX((Inputs!F$25*POWER(1+(Inputs!$C$3-(Inputs!$C$3*(('Steady State'!$A450-1)/Inputs!$C$4))),'Steady State'!$A450-1)),M449)</f>
        <v>48712.842776949758</v>
      </c>
      <c r="N450" s="12">
        <f>MAX((Inputs!G$25*POWER(1+(Inputs!$C$3-(Inputs!$C$3*(('Steady State'!$A450-1)/Inputs!$C$4))),'Steady State'!$A450-1)),N449)</f>
        <v>20876.932618692754</v>
      </c>
      <c r="O450" s="12">
        <v>0</v>
      </c>
      <c r="P450" s="12">
        <v>0</v>
      </c>
    </row>
    <row r="451" spans="1:16" x14ac:dyDescent="0.35">
      <c r="A451">
        <v>449</v>
      </c>
      <c r="C451" s="14">
        <f t="shared" si="25"/>
        <v>1038690.4263252282</v>
      </c>
      <c r="D451" s="14">
        <f t="shared" si="26"/>
        <v>880989.76827305951</v>
      </c>
      <c r="E451" s="14">
        <f t="shared" si="27"/>
        <v>47991.911874008205</v>
      </c>
      <c r="F451" s="14">
        <f t="shared" ref="F451:F514" si="28">(K451+P451)-F450</f>
        <v>69588.332017354114</v>
      </c>
      <c r="H451" s="14" cm="1">
        <f t="array" ref="H451:K451">MMULT($C450:$F450,P_Matrix)</f>
        <v>989977.58354827843</v>
      </c>
      <c r="I451" s="14">
        <v>860112.83565436676</v>
      </c>
      <c r="J451" s="14">
        <v>47991.911874008205</v>
      </c>
      <c r="K451" s="14">
        <v>139176.61031823928</v>
      </c>
      <c r="M451" s="12">
        <f>MAX((Inputs!F$25*POWER(1+(Inputs!$C$3-(Inputs!$C$3*(('Steady State'!$A451-1)/Inputs!$C$4))),'Steady State'!$A451-1)),M450)</f>
        <v>48712.842776949758</v>
      </c>
      <c r="N451" s="12">
        <f>MAX((Inputs!G$25*POWER(1+(Inputs!$C$3-(Inputs!$C$3*(('Steady State'!$A451-1)/Inputs!$C$4))),'Steady State'!$A451-1)),N450)</f>
        <v>20876.932618692754</v>
      </c>
      <c r="O451" s="12">
        <v>0</v>
      </c>
      <c r="P451" s="12">
        <v>0</v>
      </c>
    </row>
    <row r="452" spans="1:16" x14ac:dyDescent="0.35">
      <c r="A452">
        <v>450</v>
      </c>
      <c r="C452" s="14">
        <f t="shared" ref="C452:C515" si="29">H452+M452</f>
        <v>1038690.9323927956</v>
      </c>
      <c r="D452" s="14">
        <f t="shared" ref="D452:D515" si="30">I452+N452</f>
        <v>880990.61659830424</v>
      </c>
      <c r="E452" s="14">
        <f t="shared" ref="E452:E515" si="31">J452+O452</f>
        <v>47991.949070387796</v>
      </c>
      <c r="F452" s="14">
        <f t="shared" si="28"/>
        <v>69588.383806450671</v>
      </c>
      <c r="H452" s="14" cm="1">
        <f t="array" ref="H452:K452">MMULT($C451:$F451,P_Matrix)</f>
        <v>989978.08961584582</v>
      </c>
      <c r="I452" s="14">
        <v>860113.68397961149</v>
      </c>
      <c r="J452" s="14">
        <v>47991.949070387796</v>
      </c>
      <c r="K452" s="14">
        <v>139176.71582380479</v>
      </c>
      <c r="M452" s="12">
        <f>MAX((Inputs!F$25*POWER(1+(Inputs!$C$3-(Inputs!$C$3*(('Steady State'!$A452-1)/Inputs!$C$4))),'Steady State'!$A452-1)),M451)</f>
        <v>48712.842776949758</v>
      </c>
      <c r="N452" s="12">
        <f>MAX((Inputs!G$25*POWER(1+(Inputs!$C$3-(Inputs!$C$3*(('Steady State'!$A452-1)/Inputs!$C$4))),'Steady State'!$A452-1)),N451)</f>
        <v>20876.932618692754</v>
      </c>
      <c r="O452" s="12">
        <v>0</v>
      </c>
      <c r="P452" s="12">
        <v>0</v>
      </c>
    </row>
    <row r="453" spans="1:16" x14ac:dyDescent="0.35">
      <c r="A453">
        <v>451</v>
      </c>
      <c r="C453" s="14">
        <f t="shared" si="29"/>
        <v>1038691.4202991994</v>
      </c>
      <c r="D453" s="14">
        <f t="shared" si="30"/>
        <v>880991.43448845705</v>
      </c>
      <c r="E453" s="14">
        <f t="shared" si="31"/>
        <v>47991.984932143678</v>
      </c>
      <c r="F453" s="14">
        <f t="shared" si="28"/>
        <v>69588.433737329935</v>
      </c>
      <c r="H453" s="14" cm="1">
        <f t="array" ref="H453:K453">MMULT($C452:$F452,P_Matrix)</f>
        <v>989978.57752224966</v>
      </c>
      <c r="I453" s="14">
        <v>860114.5018697643</v>
      </c>
      <c r="J453" s="14">
        <v>47991.984932143678</v>
      </c>
      <c r="K453" s="14">
        <v>139176.81754378061</v>
      </c>
      <c r="M453" s="12">
        <f>MAX((Inputs!F$25*POWER(1+(Inputs!$C$3-(Inputs!$C$3*(('Steady State'!$A453-1)/Inputs!$C$4))),'Steady State'!$A453-1)),M452)</f>
        <v>48712.842776949758</v>
      </c>
      <c r="N453" s="12">
        <f>MAX((Inputs!G$25*POWER(1+(Inputs!$C$3-(Inputs!$C$3*(('Steady State'!$A453-1)/Inputs!$C$4))),'Steady State'!$A453-1)),N452)</f>
        <v>20876.932618692754</v>
      </c>
      <c r="O453" s="12">
        <v>0</v>
      </c>
      <c r="P453" s="12">
        <v>0</v>
      </c>
    </row>
    <row r="454" spans="1:16" x14ac:dyDescent="0.35">
      <c r="A454">
        <v>452</v>
      </c>
      <c r="C454" s="14">
        <f t="shared" si="29"/>
        <v>1038691.890696296</v>
      </c>
      <c r="D454" s="14">
        <f t="shared" si="30"/>
        <v>880992.22303531808</v>
      </c>
      <c r="E454" s="14">
        <f t="shared" si="31"/>
        <v>47992.019507162768</v>
      </c>
      <c r="F454" s="14">
        <f t="shared" si="28"/>
        <v>69588.48187666561</v>
      </c>
      <c r="H454" s="14" cm="1">
        <f t="array" ref="H454:K454">MMULT($C453:$F453,P_Matrix)</f>
        <v>989979.04791934625</v>
      </c>
      <c r="I454" s="14">
        <v>860115.29041662533</v>
      </c>
      <c r="J454" s="14">
        <v>47992.019507162768</v>
      </c>
      <c r="K454" s="14">
        <v>139176.91561399554</v>
      </c>
      <c r="M454" s="12">
        <f>MAX((Inputs!F$25*POWER(1+(Inputs!$C$3-(Inputs!$C$3*(('Steady State'!$A454-1)/Inputs!$C$4))),'Steady State'!$A454-1)),M453)</f>
        <v>48712.842776949758</v>
      </c>
      <c r="N454" s="12">
        <f>MAX((Inputs!G$25*POWER(1+(Inputs!$C$3-(Inputs!$C$3*(('Steady State'!$A454-1)/Inputs!$C$4))),'Steady State'!$A454-1)),N453)</f>
        <v>20876.932618692754</v>
      </c>
      <c r="O454" s="12">
        <v>0</v>
      </c>
      <c r="P454" s="12">
        <v>0</v>
      </c>
    </row>
    <row r="455" spans="1:16" x14ac:dyDescent="0.35">
      <c r="A455">
        <v>453</v>
      </c>
      <c r="C455" s="14">
        <f t="shared" si="29"/>
        <v>1038692.3442125375</v>
      </c>
      <c r="D455" s="14">
        <f t="shared" si="30"/>
        <v>880992.983291529</v>
      </c>
      <c r="E455" s="14">
        <f t="shared" si="31"/>
        <v>47992.052841613804</v>
      </c>
      <c r="F455" s="14">
        <f t="shared" si="28"/>
        <v>69588.528288739122</v>
      </c>
      <c r="H455" s="14" cm="1">
        <f t="array" ref="H455:K455">MMULT($C454:$F454,P_Matrix)</f>
        <v>989979.50143558776</v>
      </c>
      <c r="I455" s="14">
        <v>860116.05067283625</v>
      </c>
      <c r="J455" s="14">
        <v>47992.052841613804</v>
      </c>
      <c r="K455" s="14">
        <v>139177.01016540473</v>
      </c>
      <c r="M455" s="12">
        <f>MAX((Inputs!F$25*POWER(1+(Inputs!$C$3-(Inputs!$C$3*(('Steady State'!$A455-1)/Inputs!$C$4))),'Steady State'!$A455-1)),M454)</f>
        <v>48712.842776949758</v>
      </c>
      <c r="N455" s="12">
        <f>MAX((Inputs!G$25*POWER(1+(Inputs!$C$3-(Inputs!$C$3*(('Steady State'!$A455-1)/Inputs!$C$4))),'Steady State'!$A455-1)),N454)</f>
        <v>20876.932618692754</v>
      </c>
      <c r="O455" s="12">
        <v>0</v>
      </c>
      <c r="P455" s="12">
        <v>0</v>
      </c>
    </row>
    <row r="456" spans="1:16" x14ac:dyDescent="0.35">
      <c r="A456">
        <v>454</v>
      </c>
      <c r="C456" s="14">
        <f t="shared" si="29"/>
        <v>1038692.7814538117</v>
      </c>
      <c r="D456" s="14">
        <f t="shared" si="30"/>
        <v>880993.71627197682</v>
      </c>
      <c r="E456" s="14">
        <f t="shared" si="31"/>
        <v>47992.084980008949</v>
      </c>
      <c r="F456" s="14">
        <f t="shared" si="28"/>
        <v>69588.573035525449</v>
      </c>
      <c r="H456" s="14" cm="1">
        <f t="array" ref="H456:K456">MMULT($C455:$F455,P_Matrix)</f>
        <v>989979.93867686193</v>
      </c>
      <c r="I456" s="14">
        <v>860116.78365328407</v>
      </c>
      <c r="J456" s="14">
        <v>47992.084980008949</v>
      </c>
      <c r="K456" s="14">
        <v>139177.10132426457</v>
      </c>
      <c r="M456" s="12">
        <f>MAX((Inputs!F$25*POWER(1+(Inputs!$C$3-(Inputs!$C$3*(('Steady State'!$A456-1)/Inputs!$C$4))),'Steady State'!$A456-1)),M455)</f>
        <v>48712.842776949758</v>
      </c>
      <c r="N456" s="12">
        <f>MAX((Inputs!G$25*POWER(1+(Inputs!$C$3-(Inputs!$C$3*(('Steady State'!$A456-1)/Inputs!$C$4))),'Steady State'!$A456-1)),N455)</f>
        <v>20876.932618692754</v>
      </c>
      <c r="O456" s="12">
        <v>0</v>
      </c>
      <c r="P456" s="12">
        <v>0</v>
      </c>
    </row>
    <row r="457" spans="1:16" x14ac:dyDescent="0.35">
      <c r="A457">
        <v>455</v>
      </c>
      <c r="C457" s="14">
        <f t="shared" si="29"/>
        <v>1038693.2030042533</v>
      </c>
      <c r="D457" s="14">
        <f t="shared" si="30"/>
        <v>880994.42295514734</v>
      </c>
      <c r="E457" s="14">
        <f t="shared" si="31"/>
        <v>47992.115965263256</v>
      </c>
      <c r="F457" s="14">
        <f t="shared" si="28"/>
        <v>69588.616176775889</v>
      </c>
      <c r="H457" s="14" cm="1">
        <f t="array" ref="H457:K457">MMULT($C456:$F456,P_Matrix)</f>
        <v>989980.36022730358</v>
      </c>
      <c r="I457" s="14">
        <v>860117.49033645459</v>
      </c>
      <c r="J457" s="14">
        <v>47992.115965263256</v>
      </c>
      <c r="K457" s="14">
        <v>139177.18921230134</v>
      </c>
      <c r="M457" s="12">
        <f>MAX((Inputs!F$25*POWER(1+(Inputs!$C$3-(Inputs!$C$3*(('Steady State'!$A457-1)/Inputs!$C$4))),'Steady State'!$A457-1)),M456)</f>
        <v>48712.842776949758</v>
      </c>
      <c r="N457" s="12">
        <f>MAX((Inputs!G$25*POWER(1+(Inputs!$C$3-(Inputs!$C$3*(('Steady State'!$A457-1)/Inputs!$C$4))),'Steady State'!$A457-1)),N456)</f>
        <v>20876.932618692754</v>
      </c>
      <c r="O457" s="12">
        <v>0</v>
      </c>
      <c r="P457" s="12">
        <v>0</v>
      </c>
    </row>
    <row r="458" spans="1:16" x14ac:dyDescent="0.35">
      <c r="A458">
        <v>456</v>
      </c>
      <c r="C458" s="14">
        <f t="shared" si="29"/>
        <v>1038693.6094270257</v>
      </c>
      <c r="D458" s="14">
        <f t="shared" si="30"/>
        <v>880995.10428443097</v>
      </c>
      <c r="E458" s="14">
        <f t="shared" si="31"/>
        <v>47992.14583875196</v>
      </c>
      <c r="F458" s="14">
        <f t="shared" si="28"/>
        <v>69588.657770097838</v>
      </c>
      <c r="H458" s="14" cm="1">
        <f t="array" ref="H458:K458">MMULT($C457:$F457,P_Matrix)</f>
        <v>989980.76665007591</v>
      </c>
      <c r="I458" s="14">
        <v>860118.17166573822</v>
      </c>
      <c r="J458" s="14">
        <v>47992.14583875196</v>
      </c>
      <c r="K458" s="14">
        <v>139177.27394687373</v>
      </c>
      <c r="M458" s="12">
        <f>MAX((Inputs!F$25*POWER(1+(Inputs!$C$3-(Inputs!$C$3*(('Steady State'!$A458-1)/Inputs!$C$4))),'Steady State'!$A458-1)),M457)</f>
        <v>48712.842776949758</v>
      </c>
      <c r="N458" s="12">
        <f>MAX((Inputs!G$25*POWER(1+(Inputs!$C$3-(Inputs!$C$3*(('Steady State'!$A458-1)/Inputs!$C$4))),'Steady State'!$A458-1)),N457)</f>
        <v>20876.932618692754</v>
      </c>
      <c r="O458" s="12">
        <v>0</v>
      </c>
      <c r="P458" s="12">
        <v>0</v>
      </c>
    </row>
    <row r="459" spans="1:16" x14ac:dyDescent="0.35">
      <c r="A459">
        <v>457</v>
      </c>
      <c r="C459" s="14">
        <f t="shared" si="29"/>
        <v>1038694.0012650733</v>
      </c>
      <c r="D459" s="14">
        <f t="shared" si="30"/>
        <v>880995.76116938028</v>
      </c>
      <c r="E459" s="14">
        <f t="shared" si="31"/>
        <v>47992.174640365745</v>
      </c>
      <c r="F459" s="14">
        <f t="shared" si="28"/>
        <v>69588.697871031705</v>
      </c>
      <c r="H459" s="14" cm="1">
        <f t="array" ref="H459:K459">MMULT($C458:$F458,P_Matrix)</f>
        <v>989981.15848812356</v>
      </c>
      <c r="I459" s="14">
        <v>860118.82855068753</v>
      </c>
      <c r="J459" s="14">
        <v>47992.174640365745</v>
      </c>
      <c r="K459" s="14">
        <v>139177.35564112954</v>
      </c>
      <c r="M459" s="12">
        <f>MAX((Inputs!F$25*POWER(1+(Inputs!$C$3-(Inputs!$C$3*(('Steady State'!$A459-1)/Inputs!$C$4))),'Steady State'!$A459-1)),M458)</f>
        <v>48712.842776949758</v>
      </c>
      <c r="N459" s="12">
        <f>MAX((Inputs!G$25*POWER(1+(Inputs!$C$3-(Inputs!$C$3*(('Steady State'!$A459-1)/Inputs!$C$4))),'Steady State'!$A459-1)),N458)</f>
        <v>20876.932618692754</v>
      </c>
      <c r="O459" s="12">
        <v>0</v>
      </c>
      <c r="P459" s="12">
        <v>0</v>
      </c>
    </row>
    <row r="460" spans="1:16" x14ac:dyDescent="0.35">
      <c r="A460">
        <v>458</v>
      </c>
      <c r="C460" s="14">
        <f t="shared" si="29"/>
        <v>1038694.3790418489</v>
      </c>
      <c r="D460" s="14">
        <f t="shared" si="30"/>
        <v>880996.3944869237</v>
      </c>
      <c r="E460" s="14">
        <f t="shared" si="31"/>
        <v>47992.202408563986</v>
      </c>
      <c r="F460" s="14">
        <f t="shared" si="28"/>
        <v>69588.736533125048</v>
      </c>
      <c r="H460" s="14" cm="1">
        <f t="array" ref="H460:K460">MMULT($C459:$F459,P_Matrix)</f>
        <v>989981.53626489919</v>
      </c>
      <c r="I460" s="14">
        <v>860119.46186823095</v>
      </c>
      <c r="J460" s="14">
        <v>47992.202408563986</v>
      </c>
      <c r="K460" s="14">
        <v>139177.43440415675</v>
      </c>
      <c r="M460" s="12">
        <f>MAX((Inputs!F$25*POWER(1+(Inputs!$C$3-(Inputs!$C$3*(('Steady State'!$A460-1)/Inputs!$C$4))),'Steady State'!$A460-1)),M459)</f>
        <v>48712.842776949758</v>
      </c>
      <c r="N460" s="12">
        <f>MAX((Inputs!G$25*POWER(1+(Inputs!$C$3-(Inputs!$C$3*(('Steady State'!$A460-1)/Inputs!$C$4))),'Steady State'!$A460-1)),N459)</f>
        <v>20876.932618692754</v>
      </c>
      <c r="O460" s="12">
        <v>0</v>
      </c>
      <c r="P460" s="12">
        <v>0</v>
      </c>
    </row>
    <row r="461" spans="1:16" x14ac:dyDescent="0.35">
      <c r="A461">
        <v>459</v>
      </c>
      <c r="C461" s="14">
        <f t="shared" si="29"/>
        <v>1038694.7432620133</v>
      </c>
      <c r="D461" s="14">
        <f t="shared" si="30"/>
        <v>880997.00508253532</v>
      </c>
      <c r="E461" s="14">
        <f t="shared" si="31"/>
        <v>47992.229180426119</v>
      </c>
      <c r="F461" s="14">
        <f t="shared" si="28"/>
        <v>69588.77380800416</v>
      </c>
      <c r="H461" s="14" cm="1">
        <f t="array" ref="H461:K461">MMULT($C460:$F460,P_Matrix)</f>
        <v>989981.90048506355</v>
      </c>
      <c r="I461" s="14">
        <v>860120.07246384257</v>
      </c>
      <c r="J461" s="14">
        <v>47992.229180426119</v>
      </c>
      <c r="K461" s="14">
        <v>139177.51034112921</v>
      </c>
      <c r="M461" s="12">
        <f>MAX((Inputs!F$25*POWER(1+(Inputs!$C$3-(Inputs!$C$3*(('Steady State'!$A461-1)/Inputs!$C$4))),'Steady State'!$A461-1)),M460)</f>
        <v>48712.842776949758</v>
      </c>
      <c r="N461" s="12">
        <f>MAX((Inputs!G$25*POWER(1+(Inputs!$C$3-(Inputs!$C$3*(('Steady State'!$A461-1)/Inputs!$C$4))),'Steady State'!$A461-1)),N460)</f>
        <v>20876.932618692754</v>
      </c>
      <c r="O461" s="12">
        <v>0</v>
      </c>
      <c r="P461" s="12">
        <v>0</v>
      </c>
    </row>
    <row r="462" spans="1:16" x14ac:dyDescent="0.35">
      <c r="A462">
        <v>460</v>
      </c>
      <c r="C462" s="14">
        <f t="shared" si="29"/>
        <v>1038695.0944121102</v>
      </c>
      <c r="D462" s="14">
        <f t="shared" si="30"/>
        <v>880997.59377136291</v>
      </c>
      <c r="E462" s="14">
        <f t="shared" si="31"/>
        <v>47992.254991701157</v>
      </c>
      <c r="F462" s="14">
        <f t="shared" si="28"/>
        <v>69588.809745442995</v>
      </c>
      <c r="H462" s="14" cm="1">
        <f t="array" ref="H462:K462">MMULT($C461:$F461,P_Matrix)</f>
        <v>989982.25163516041</v>
      </c>
      <c r="I462" s="14">
        <v>860120.66115267016</v>
      </c>
      <c r="J462" s="14">
        <v>47992.254991701157</v>
      </c>
      <c r="K462" s="14">
        <v>139177.58355344716</v>
      </c>
      <c r="M462" s="12">
        <f>MAX((Inputs!F$25*POWER(1+(Inputs!$C$3-(Inputs!$C$3*(('Steady State'!$A462-1)/Inputs!$C$4))),'Steady State'!$A462-1)),M461)</f>
        <v>48712.842776949758</v>
      </c>
      <c r="N462" s="12">
        <f>MAX((Inputs!G$25*POWER(1+(Inputs!$C$3-(Inputs!$C$3*(('Steady State'!$A462-1)/Inputs!$C$4))),'Steady State'!$A462-1)),N461)</f>
        <v>20876.932618692754</v>
      </c>
      <c r="O462" s="12">
        <v>0</v>
      </c>
      <c r="P462" s="12">
        <v>0</v>
      </c>
    </row>
    <row r="463" spans="1:16" x14ac:dyDescent="0.35">
      <c r="A463">
        <v>461</v>
      </c>
      <c r="C463" s="14">
        <f t="shared" si="29"/>
        <v>1038695.432961217</v>
      </c>
      <c r="D463" s="14">
        <f t="shared" si="30"/>
        <v>880998.16133931477</v>
      </c>
      <c r="E463" s="14">
        <f t="shared" si="31"/>
        <v>47992.27987685542</v>
      </c>
      <c r="F463" s="14">
        <f t="shared" si="28"/>
        <v>69588.844393429463</v>
      </c>
      <c r="H463" s="14" cm="1">
        <f t="array" ref="H463:K463">MMULT($C462:$F462,P_Matrix)</f>
        <v>989982.59018426726</v>
      </c>
      <c r="I463" s="14">
        <v>860121.22872062202</v>
      </c>
      <c r="J463" s="14">
        <v>47992.27987685542</v>
      </c>
      <c r="K463" s="14">
        <v>139177.65413887246</v>
      </c>
      <c r="M463" s="12">
        <f>MAX((Inputs!F$25*POWER(1+(Inputs!$C$3-(Inputs!$C$3*(('Steady State'!$A463-1)/Inputs!$C$4))),'Steady State'!$A463-1)),M462)</f>
        <v>48712.842776949758</v>
      </c>
      <c r="N463" s="12">
        <f>MAX((Inputs!G$25*POWER(1+(Inputs!$C$3-(Inputs!$C$3*(('Steady State'!$A463-1)/Inputs!$C$4))),'Steady State'!$A463-1)),N462)</f>
        <v>20876.932618692754</v>
      </c>
      <c r="O463" s="12">
        <v>0</v>
      </c>
      <c r="P463" s="12">
        <v>0</v>
      </c>
    </row>
    <row r="464" spans="1:16" x14ac:dyDescent="0.35">
      <c r="A464">
        <v>462</v>
      </c>
      <c r="C464" s="14">
        <f t="shared" si="29"/>
        <v>1038695.7593615724</v>
      </c>
      <c r="D464" s="14">
        <f t="shared" si="30"/>
        <v>880998.7085441089</v>
      </c>
      <c r="E464" s="14">
        <f t="shared" si="31"/>
        <v>47992.303869118565</v>
      </c>
      <c r="F464" s="14">
        <f t="shared" si="28"/>
        <v>69588.877798229805</v>
      </c>
      <c r="H464" s="14" cm="1">
        <f t="array" ref="H464:K464">MMULT($C463:$F463,P_Matrix)</f>
        <v>989982.9165846227</v>
      </c>
      <c r="I464" s="14">
        <v>860121.77592541615</v>
      </c>
      <c r="J464" s="14">
        <v>47992.303869118565</v>
      </c>
      <c r="K464" s="14">
        <v>139177.72219165927</v>
      </c>
      <c r="M464" s="12">
        <f>MAX((Inputs!F$25*POWER(1+(Inputs!$C$3-(Inputs!$C$3*(('Steady State'!$A464-1)/Inputs!$C$4))),'Steady State'!$A464-1)),M463)</f>
        <v>48712.842776949758</v>
      </c>
      <c r="N464" s="12">
        <f>MAX((Inputs!G$25*POWER(1+(Inputs!$C$3-(Inputs!$C$3*(('Steady State'!$A464-1)/Inputs!$C$4))),'Steady State'!$A464-1)),N463)</f>
        <v>20876.932618692754</v>
      </c>
      <c r="O464" s="12">
        <v>0</v>
      </c>
      <c r="P464" s="12">
        <v>0</v>
      </c>
    </row>
    <row r="465" spans="1:16" x14ac:dyDescent="0.35">
      <c r="A465">
        <v>463</v>
      </c>
      <c r="C465" s="14">
        <f t="shared" si="29"/>
        <v>1038696.0740491808</v>
      </c>
      <c r="D465" s="14">
        <f t="shared" si="30"/>
        <v>880999.23611628357</v>
      </c>
      <c r="E465" s="14">
        <f t="shared" si="31"/>
        <v>47992.327000527948</v>
      </c>
      <c r="F465" s="14">
        <f t="shared" si="28"/>
        <v>69588.910004450066</v>
      </c>
      <c r="H465" s="14" cm="1">
        <f t="array" ref="H465:K465">MMULT($C464:$F464,P_Matrix)</f>
        <v>989983.23127223109</v>
      </c>
      <c r="I465" s="14">
        <v>860122.30349759082</v>
      </c>
      <c r="J465" s="14">
        <v>47992.327000527948</v>
      </c>
      <c r="K465" s="14">
        <v>139177.78780267987</v>
      </c>
      <c r="M465" s="12">
        <f>MAX((Inputs!F$25*POWER(1+(Inputs!$C$3-(Inputs!$C$3*(('Steady State'!$A465-1)/Inputs!$C$4))),'Steady State'!$A465-1)),M464)</f>
        <v>48712.842776949758</v>
      </c>
      <c r="N465" s="12">
        <f>MAX((Inputs!G$25*POWER(1+(Inputs!$C$3-(Inputs!$C$3*(('Steady State'!$A465-1)/Inputs!$C$4))),'Steady State'!$A465-1)),N464)</f>
        <v>20876.932618692754</v>
      </c>
      <c r="O465" s="12">
        <v>0</v>
      </c>
      <c r="P465" s="12">
        <v>0</v>
      </c>
    </row>
    <row r="466" spans="1:16" x14ac:dyDescent="0.35">
      <c r="A466">
        <v>464</v>
      </c>
      <c r="C466" s="14">
        <f t="shared" si="29"/>
        <v>1038696.3774443952</v>
      </c>
      <c r="D466" s="14">
        <f t="shared" si="30"/>
        <v>880999.74476017221</v>
      </c>
      <c r="E466" s="14">
        <f t="shared" si="31"/>
        <v>47992.349301971415</v>
      </c>
      <c r="F466" s="14">
        <f t="shared" si="28"/>
        <v>69588.941055095929</v>
      </c>
      <c r="H466" s="14" cm="1">
        <f t="array" ref="H466:K466">MMULT($C465:$F465,P_Matrix)</f>
        <v>989983.53466744546</v>
      </c>
      <c r="I466" s="14">
        <v>860122.81214147946</v>
      </c>
      <c r="J466" s="14">
        <v>47992.349301971415</v>
      </c>
      <c r="K466" s="14">
        <v>139177.851059546</v>
      </c>
      <c r="M466" s="12">
        <f>MAX((Inputs!F$25*POWER(1+(Inputs!$C$3-(Inputs!$C$3*(('Steady State'!$A466-1)/Inputs!$C$4))),'Steady State'!$A466-1)),M465)</f>
        <v>48712.842776949758</v>
      </c>
      <c r="N466" s="12">
        <f>MAX((Inputs!G$25*POWER(1+(Inputs!$C$3-(Inputs!$C$3*(('Steady State'!$A466-1)/Inputs!$C$4))),'Steady State'!$A466-1)),N465)</f>
        <v>20876.932618692754</v>
      </c>
      <c r="O466" s="12">
        <v>0</v>
      </c>
      <c r="P466" s="12">
        <v>0</v>
      </c>
    </row>
    <row r="467" spans="1:16" x14ac:dyDescent="0.35">
      <c r="A467">
        <v>465</v>
      </c>
      <c r="C467" s="14">
        <f t="shared" si="29"/>
        <v>1038696.6699524801</v>
      </c>
      <c r="D467" s="14">
        <f t="shared" si="30"/>
        <v>881000.23515484284</v>
      </c>
      <c r="E467" s="14">
        <f t="shared" si="31"/>
        <v>47992.370803228521</v>
      </c>
      <c r="F467" s="14">
        <f t="shared" si="28"/>
        <v>69588.970991629874</v>
      </c>
      <c r="H467" s="14" cm="1">
        <f t="array" ref="H467:K467">MMULT($C466:$F466,P_Matrix)</f>
        <v>989983.82717553037</v>
      </c>
      <c r="I467" s="14">
        <v>860123.30253615009</v>
      </c>
      <c r="J467" s="14">
        <v>47992.370803228521</v>
      </c>
      <c r="K467" s="14">
        <v>139177.9120467258</v>
      </c>
      <c r="M467" s="12">
        <f>MAX((Inputs!F$25*POWER(1+(Inputs!$C$3-(Inputs!$C$3*(('Steady State'!$A467-1)/Inputs!$C$4))),'Steady State'!$A467-1)),M466)</f>
        <v>48712.842776949758</v>
      </c>
      <c r="N467" s="12">
        <f>MAX((Inputs!G$25*POWER(1+(Inputs!$C$3-(Inputs!$C$3*(('Steady State'!$A467-1)/Inputs!$C$4))),'Steady State'!$A467-1)),N466)</f>
        <v>20876.932618692754</v>
      </c>
      <c r="O467" s="12">
        <v>0</v>
      </c>
      <c r="P467" s="12">
        <v>0</v>
      </c>
    </row>
    <row r="468" spans="1:16" x14ac:dyDescent="0.35">
      <c r="A468">
        <v>466</v>
      </c>
      <c r="C468" s="14">
        <f t="shared" si="29"/>
        <v>1038696.9519641523</v>
      </c>
      <c r="D468" s="14">
        <f t="shared" si="30"/>
        <v>881000.70795500441</v>
      </c>
      <c r="E468" s="14">
        <f t="shared" si="31"/>
        <v>47992.391533010341</v>
      </c>
      <c r="F468" s="14">
        <f t="shared" si="28"/>
        <v>69588.999854026828</v>
      </c>
      <c r="H468" s="14" cm="1">
        <f t="array" ref="H468:K468">MMULT($C467:$F467,P_Matrix)</f>
        <v>989984.10918720253</v>
      </c>
      <c r="I468" s="14">
        <v>860123.77533631166</v>
      </c>
      <c r="J468" s="14">
        <v>47992.391533010341</v>
      </c>
      <c r="K468" s="14">
        <v>139177.9708456567</v>
      </c>
      <c r="M468" s="12">
        <f>MAX((Inputs!F$25*POWER(1+(Inputs!$C$3-(Inputs!$C$3*(('Steady State'!$A468-1)/Inputs!$C$4))),'Steady State'!$A468-1)),M467)</f>
        <v>48712.842776949758</v>
      </c>
      <c r="N468" s="12">
        <f>MAX((Inputs!G$25*POWER(1+(Inputs!$C$3-(Inputs!$C$3*(('Steady State'!$A468-1)/Inputs!$C$4))),'Steady State'!$A468-1)),N467)</f>
        <v>20876.932618692754</v>
      </c>
      <c r="O468" s="12">
        <v>0</v>
      </c>
      <c r="P468" s="12">
        <v>0</v>
      </c>
    </row>
    <row r="469" spans="1:16" x14ac:dyDescent="0.35">
      <c r="A469">
        <v>467</v>
      </c>
      <c r="C469" s="14">
        <f t="shared" si="29"/>
        <v>1038697.2238561038</v>
      </c>
      <c r="D469" s="14">
        <f t="shared" si="30"/>
        <v>881001.16379188059</v>
      </c>
      <c r="E469" s="14">
        <f t="shared" si="31"/>
        <v>47992.411518997775</v>
      </c>
      <c r="F469" s="14">
        <f t="shared" si="28"/>
        <v>69589.027680827276</v>
      </c>
      <c r="H469" s="14" cm="1">
        <f t="array" ref="H469:K469">MMULT($C468:$F468,P_Matrix)</f>
        <v>989984.38107915409</v>
      </c>
      <c r="I469" s="14">
        <v>860124.23117318784</v>
      </c>
      <c r="J469" s="14">
        <v>47992.411518997775</v>
      </c>
      <c r="K469" s="14">
        <v>139178.0275348541</v>
      </c>
      <c r="M469" s="12">
        <f>MAX((Inputs!F$25*POWER(1+(Inputs!$C$3-(Inputs!$C$3*(('Steady State'!$A469-1)/Inputs!$C$4))),'Steady State'!$A469-1)),M468)</f>
        <v>48712.842776949758</v>
      </c>
      <c r="N469" s="12">
        <f>MAX((Inputs!G$25*POWER(1+(Inputs!$C$3-(Inputs!$C$3*(('Steady State'!$A469-1)/Inputs!$C$4))),'Steady State'!$A469-1)),N468)</f>
        <v>20876.932618692754</v>
      </c>
      <c r="O469" s="12">
        <v>0</v>
      </c>
      <c r="P469" s="12">
        <v>0</v>
      </c>
    </row>
    <row r="470" spans="1:16" x14ac:dyDescent="0.35">
      <c r="A470">
        <v>468</v>
      </c>
      <c r="C470" s="14">
        <f t="shared" si="29"/>
        <v>1038697.4859915059</v>
      </c>
      <c r="D470" s="14">
        <f t="shared" si="30"/>
        <v>881001.60327405122</v>
      </c>
      <c r="E470" s="14">
        <f t="shared" si="31"/>
        <v>47992.430787878504</v>
      </c>
      <c r="F470" s="14">
        <f t="shared" si="28"/>
        <v>69589.05450918898</v>
      </c>
      <c r="H470" s="14" cm="1">
        <f t="array" ref="H470:K470">MMULT($C469:$F469,P_Matrix)</f>
        <v>989984.64321455616</v>
      </c>
      <c r="I470" s="14">
        <v>860124.67065535847</v>
      </c>
      <c r="J470" s="14">
        <v>47992.430787878504</v>
      </c>
      <c r="K470" s="14">
        <v>139178.08219001626</v>
      </c>
      <c r="M470" s="12">
        <f>MAX((Inputs!F$25*POWER(1+(Inputs!$C$3-(Inputs!$C$3*(('Steady State'!$A470-1)/Inputs!$C$4))),'Steady State'!$A470-1)),M469)</f>
        <v>48712.842776949758</v>
      </c>
      <c r="N470" s="12">
        <f>MAX((Inputs!G$25*POWER(1+(Inputs!$C$3-(Inputs!$C$3*(('Steady State'!$A470-1)/Inputs!$C$4))),'Steady State'!$A470-1)),N469)</f>
        <v>20876.932618692754</v>
      </c>
      <c r="O470" s="12">
        <v>0</v>
      </c>
      <c r="P470" s="12">
        <v>0</v>
      </c>
    </row>
    <row r="471" spans="1:16" x14ac:dyDescent="0.35">
      <c r="A471">
        <v>469</v>
      </c>
      <c r="C471" s="14">
        <f t="shared" si="29"/>
        <v>1038697.7387204935</v>
      </c>
      <c r="D471" s="14">
        <f t="shared" si="30"/>
        <v>881002.02698826534</v>
      </c>
      <c r="E471" s="14">
        <f t="shared" si="31"/>
        <v>47992.449365382679</v>
      </c>
      <c r="F471" s="14">
        <f t="shared" si="28"/>
        <v>69589.08037493634</v>
      </c>
      <c r="H471" s="14" cm="1">
        <f t="array" ref="H471:K471">MMULT($C470:$F470,P_Matrix)</f>
        <v>989984.89594354376</v>
      </c>
      <c r="I471" s="14">
        <v>860125.09436957259</v>
      </c>
      <c r="J471" s="14">
        <v>47992.449365382679</v>
      </c>
      <c r="K471" s="14">
        <v>139178.13488412532</v>
      </c>
      <c r="M471" s="12">
        <f>MAX((Inputs!F$25*POWER(1+(Inputs!$C$3-(Inputs!$C$3*(('Steady State'!$A471-1)/Inputs!$C$4))),'Steady State'!$A471-1)),M470)</f>
        <v>48712.842776949758</v>
      </c>
      <c r="N471" s="12">
        <f>MAX((Inputs!G$25*POWER(1+(Inputs!$C$3-(Inputs!$C$3*(('Steady State'!$A471-1)/Inputs!$C$4))),'Steady State'!$A471-1)),N470)</f>
        <v>20876.932618692754</v>
      </c>
      <c r="O471" s="12">
        <v>0</v>
      </c>
      <c r="P471" s="12">
        <v>0</v>
      </c>
    </row>
    <row r="472" spans="1:16" x14ac:dyDescent="0.35">
      <c r="A472">
        <v>470</v>
      </c>
      <c r="C472" s="14">
        <f t="shared" si="29"/>
        <v>1038697.9823806345</v>
      </c>
      <c r="D472" s="14">
        <f t="shared" si="30"/>
        <v>881002.43550022377</v>
      </c>
      <c r="E472" s="14">
        <f t="shared" si="31"/>
        <v>47992.467276317198</v>
      </c>
      <c r="F472" s="14">
        <f t="shared" si="28"/>
        <v>69589.105312608415</v>
      </c>
      <c r="H472" s="14" cm="1">
        <f t="array" ref="H472:K472">MMULT($C471:$F471,P_Matrix)</f>
        <v>989985.13960368477</v>
      </c>
      <c r="I472" s="14">
        <v>860125.50288153102</v>
      </c>
      <c r="J472" s="14">
        <v>47992.467276317198</v>
      </c>
      <c r="K472" s="14">
        <v>139178.18568754476</v>
      </c>
      <c r="M472" s="12">
        <f>MAX((Inputs!F$25*POWER(1+(Inputs!$C$3-(Inputs!$C$3*(('Steady State'!$A472-1)/Inputs!$C$4))),'Steady State'!$A472-1)),M471)</f>
        <v>48712.842776949758</v>
      </c>
      <c r="N472" s="12">
        <f>MAX((Inputs!G$25*POWER(1+(Inputs!$C$3-(Inputs!$C$3*(('Steady State'!$A472-1)/Inputs!$C$4))),'Steady State'!$A472-1)),N471)</f>
        <v>20876.932618692754</v>
      </c>
      <c r="O472" s="12">
        <v>0</v>
      </c>
      <c r="P472" s="12">
        <v>0</v>
      </c>
    </row>
    <row r="473" spans="1:16" x14ac:dyDescent="0.35">
      <c r="A473">
        <v>471</v>
      </c>
      <c r="C473" s="14">
        <f t="shared" si="29"/>
        <v>1038698.2172973801</v>
      </c>
      <c r="D473" s="14">
        <f t="shared" si="30"/>
        <v>881002.82935533382</v>
      </c>
      <c r="E473" s="14">
        <f t="shared" si="31"/>
        <v>47992.484544598905</v>
      </c>
      <c r="F473" s="14">
        <f t="shared" si="28"/>
        <v>69589.129355505051</v>
      </c>
      <c r="H473" s="14" cm="1">
        <f t="array" ref="H473:K473">MMULT($C472:$F472,P_Matrix)</f>
        <v>989985.37452043034</v>
      </c>
      <c r="I473" s="14">
        <v>860125.89673664107</v>
      </c>
      <c r="J473" s="14">
        <v>47992.484544598905</v>
      </c>
      <c r="K473" s="14">
        <v>139178.23466811347</v>
      </c>
      <c r="M473" s="12">
        <f>MAX((Inputs!F$25*POWER(1+(Inputs!$C$3-(Inputs!$C$3*(('Steady State'!$A473-1)/Inputs!$C$4))),'Steady State'!$A473-1)),M472)</f>
        <v>48712.842776949758</v>
      </c>
      <c r="N473" s="12">
        <f>MAX((Inputs!G$25*POWER(1+(Inputs!$C$3-(Inputs!$C$3*(('Steady State'!$A473-1)/Inputs!$C$4))),'Steady State'!$A473-1)),N472)</f>
        <v>20876.932618692754</v>
      </c>
      <c r="O473" s="12">
        <v>0</v>
      </c>
      <c r="P473" s="12">
        <v>0</v>
      </c>
    </row>
    <row r="474" spans="1:16" x14ac:dyDescent="0.35">
      <c r="A474">
        <v>472</v>
      </c>
      <c r="C474" s="14">
        <f t="shared" si="29"/>
        <v>1038698.4437845004</v>
      </c>
      <c r="D474" s="14">
        <f t="shared" si="30"/>
        <v>881003.20907943742</v>
      </c>
      <c r="E474" s="14">
        <f t="shared" si="31"/>
        <v>47992.50119328648</v>
      </c>
      <c r="F474" s="14">
        <f t="shared" si="28"/>
        <v>69589.152535731148</v>
      </c>
      <c r="H474" s="14" cm="1">
        <f t="array" ref="H474:K474">MMULT($C473:$F473,P_Matrix)</f>
        <v>989985.60100755061</v>
      </c>
      <c r="I474" s="14">
        <v>860126.27646074467</v>
      </c>
      <c r="J474" s="14">
        <v>47992.50119328648</v>
      </c>
      <c r="K474" s="14">
        <v>139178.2818912362</v>
      </c>
      <c r="M474" s="12">
        <f>MAX((Inputs!F$25*POWER(1+(Inputs!$C$3-(Inputs!$C$3*(('Steady State'!$A474-1)/Inputs!$C$4))),'Steady State'!$A474-1)),M473)</f>
        <v>48712.842776949758</v>
      </c>
      <c r="N474" s="12">
        <f>MAX((Inputs!G$25*POWER(1+(Inputs!$C$3-(Inputs!$C$3*(('Steady State'!$A474-1)/Inputs!$C$4))),'Steady State'!$A474-1)),N473)</f>
        <v>20876.932618692754</v>
      </c>
      <c r="O474" s="12">
        <v>0</v>
      </c>
      <c r="P474" s="12">
        <v>0</v>
      </c>
    </row>
    <row r="475" spans="1:16" x14ac:dyDescent="0.35">
      <c r="A475">
        <v>473</v>
      </c>
      <c r="C475" s="14">
        <f t="shared" si="29"/>
        <v>1038698.6621445031</v>
      </c>
      <c r="D475" s="14">
        <f t="shared" si="30"/>
        <v>881003.57517951261</v>
      </c>
      <c r="E475" s="14">
        <f t="shared" si="31"/>
        <v>47992.51724461127</v>
      </c>
      <c r="F475" s="14">
        <f t="shared" si="28"/>
        <v>69589.174884239736</v>
      </c>
      <c r="H475" s="14" cm="1">
        <f t="array" ref="H475:K475">MMULT($C474:$F474,P_Matrix)</f>
        <v>989985.81936755334</v>
      </c>
      <c r="I475" s="14">
        <v>860126.64256081986</v>
      </c>
      <c r="J475" s="14">
        <v>47992.51724461127</v>
      </c>
      <c r="K475" s="14">
        <v>139178.32741997088</v>
      </c>
      <c r="M475" s="12">
        <f>MAX((Inputs!F$25*POWER(1+(Inputs!$C$3-(Inputs!$C$3*(('Steady State'!$A475-1)/Inputs!$C$4))),'Steady State'!$A475-1)),M474)</f>
        <v>48712.842776949758</v>
      </c>
      <c r="N475" s="12">
        <f>MAX((Inputs!G$25*POWER(1+(Inputs!$C$3-(Inputs!$C$3*(('Steady State'!$A475-1)/Inputs!$C$4))),'Steady State'!$A475-1)),N474)</f>
        <v>20876.932618692754</v>
      </c>
      <c r="O475" s="12">
        <v>0</v>
      </c>
      <c r="P475" s="12">
        <v>0</v>
      </c>
    </row>
    <row r="476" spans="1:16" x14ac:dyDescent="0.35">
      <c r="A476">
        <v>474</v>
      </c>
      <c r="C476" s="14">
        <f t="shared" si="29"/>
        <v>1038698.8726690388</v>
      </c>
      <c r="D476" s="14">
        <f t="shared" si="30"/>
        <v>881003.9281443503</v>
      </c>
      <c r="E476" s="14">
        <f t="shared" si="31"/>
        <v>47992.532720006915</v>
      </c>
      <c r="F476" s="14">
        <f t="shared" si="28"/>
        <v>69589.1964308733</v>
      </c>
      <c r="H476" s="14" cm="1">
        <f t="array" ref="H476:K476">MMULT($C475:$F475,P_Matrix)</f>
        <v>989986.02989208908</v>
      </c>
      <c r="I476" s="14">
        <v>860126.99552565755</v>
      </c>
      <c r="J476" s="14">
        <v>47992.532720006915</v>
      </c>
      <c r="K476" s="14">
        <v>139178.37131511304</v>
      </c>
      <c r="M476" s="12">
        <f>MAX((Inputs!F$25*POWER(1+(Inputs!$C$3-(Inputs!$C$3*(('Steady State'!$A476-1)/Inputs!$C$4))),'Steady State'!$A476-1)),M475)</f>
        <v>48712.842776949758</v>
      </c>
      <c r="N476" s="12">
        <f>MAX((Inputs!G$25*POWER(1+(Inputs!$C$3-(Inputs!$C$3*(('Steady State'!$A476-1)/Inputs!$C$4))),'Steady State'!$A476-1)),N475)</f>
        <v>20876.932618692754</v>
      </c>
      <c r="O476" s="12">
        <v>0</v>
      </c>
      <c r="P476" s="12">
        <v>0</v>
      </c>
    </row>
    <row r="477" spans="1:16" x14ac:dyDescent="0.35">
      <c r="A477">
        <v>475</v>
      </c>
      <c r="C477" s="14">
        <f t="shared" si="29"/>
        <v>1038699.0756392904</v>
      </c>
      <c r="D477" s="14">
        <f t="shared" si="30"/>
        <v>881004.26844520669</v>
      </c>
      <c r="E477" s="14">
        <f t="shared" si="31"/>
        <v>47992.547640138044</v>
      </c>
      <c r="F477" s="14">
        <f t="shared" si="28"/>
        <v>69589.217204403394</v>
      </c>
      <c r="H477" s="14" cm="1">
        <f t="array" ref="H477:K477">MMULT($C476:$F476,P_Matrix)</f>
        <v>989986.23286234064</v>
      </c>
      <c r="I477" s="14">
        <v>860127.33582651394</v>
      </c>
      <c r="J477" s="14">
        <v>47992.547640138044</v>
      </c>
      <c r="K477" s="14">
        <v>139178.41363527669</v>
      </c>
      <c r="M477" s="12">
        <f>MAX((Inputs!F$25*POWER(1+(Inputs!$C$3-(Inputs!$C$3*(('Steady State'!$A477-1)/Inputs!$C$4))),'Steady State'!$A477-1)),M476)</f>
        <v>48712.842776949758</v>
      </c>
      <c r="N477" s="12">
        <f>MAX((Inputs!G$25*POWER(1+(Inputs!$C$3-(Inputs!$C$3*(('Steady State'!$A477-1)/Inputs!$C$4))),'Steady State'!$A477-1)),N476)</f>
        <v>20876.932618692754</v>
      </c>
      <c r="O477" s="12">
        <v>0</v>
      </c>
      <c r="P477" s="12">
        <v>0</v>
      </c>
    </row>
    <row r="478" spans="1:16" x14ac:dyDescent="0.35">
      <c r="A478">
        <v>476</v>
      </c>
      <c r="C478" s="14">
        <f t="shared" si="29"/>
        <v>1038699.2713263485</v>
      </c>
      <c r="D478" s="14">
        <f t="shared" si="30"/>
        <v>881004.59653643169</v>
      </c>
      <c r="E478" s="14">
        <f t="shared" si="31"/>
        <v>47992.5620249278</v>
      </c>
      <c r="F478" s="14">
        <f t="shared" si="28"/>
        <v>69589.23723256943</v>
      </c>
      <c r="H478" s="14" cm="1">
        <f t="array" ref="H478:K478">MMULT($C477:$F477,P_Matrix)</f>
        <v>989986.42854939878</v>
      </c>
      <c r="I478" s="14">
        <v>860127.66391773894</v>
      </c>
      <c r="J478" s="14">
        <v>47992.5620249278</v>
      </c>
      <c r="K478" s="14">
        <v>139178.45443697282</v>
      </c>
      <c r="M478" s="12">
        <f>MAX((Inputs!F$25*POWER(1+(Inputs!$C$3-(Inputs!$C$3*(('Steady State'!$A478-1)/Inputs!$C$4))),'Steady State'!$A478-1)),M477)</f>
        <v>48712.842776949758</v>
      </c>
      <c r="N478" s="12">
        <f>MAX((Inputs!G$25*POWER(1+(Inputs!$C$3-(Inputs!$C$3*(('Steady State'!$A478-1)/Inputs!$C$4))),'Steady State'!$A478-1)),N477)</f>
        <v>20876.932618692754</v>
      </c>
      <c r="O478" s="12">
        <v>0</v>
      </c>
      <c r="P478" s="12">
        <v>0</v>
      </c>
    </row>
    <row r="479" spans="1:16" x14ac:dyDescent="0.35">
      <c r="A479">
        <v>477</v>
      </c>
      <c r="C479" s="14">
        <f t="shared" si="29"/>
        <v>1038699.4599915744</v>
      </c>
      <c r="D479" s="14">
        <f t="shared" si="30"/>
        <v>881004.91285607626</v>
      </c>
      <c r="E479" s="14">
        <f t="shared" si="31"/>
        <v>47992.575893584479</v>
      </c>
      <c r="F479" s="14">
        <f t="shared" si="28"/>
        <v>69589.256542115356</v>
      </c>
      <c r="H479" s="14" cm="1">
        <f t="array" ref="H479:K479">MMULT($C478:$F478,P_Matrix)</f>
        <v>989986.61721462465</v>
      </c>
      <c r="I479" s="14">
        <v>860127.98023738351</v>
      </c>
      <c r="J479" s="14">
        <v>47992.575893584479</v>
      </c>
      <c r="K479" s="14">
        <v>139178.49377468479</v>
      </c>
      <c r="M479" s="12">
        <f>MAX((Inputs!F$25*POWER(1+(Inputs!$C$3-(Inputs!$C$3*(('Steady State'!$A479-1)/Inputs!$C$4))),'Steady State'!$A479-1)),M478)</f>
        <v>48712.842776949758</v>
      </c>
      <c r="N479" s="12">
        <f>MAX((Inputs!G$25*POWER(1+(Inputs!$C$3-(Inputs!$C$3*(('Steady State'!$A479-1)/Inputs!$C$4))),'Steady State'!$A479-1)),N478)</f>
        <v>20876.932618692754</v>
      </c>
      <c r="O479" s="12">
        <v>0</v>
      </c>
      <c r="P479" s="12">
        <v>0</v>
      </c>
    </row>
    <row r="480" spans="1:16" x14ac:dyDescent="0.35">
      <c r="A480">
        <v>478</v>
      </c>
      <c r="C480" s="14">
        <f t="shared" si="29"/>
        <v>1038699.641886949</v>
      </c>
      <c r="D480" s="14">
        <f t="shared" si="30"/>
        <v>881005.21782647585</v>
      </c>
      <c r="E480" s="14">
        <f t="shared" si="31"/>
        <v>47992.589264627197</v>
      </c>
      <c r="F480" s="14">
        <f t="shared" si="28"/>
        <v>69589.275158825621</v>
      </c>
      <c r="H480" s="14" cm="1">
        <f t="array" ref="H480:K480">MMULT($C479:$F479,P_Matrix)</f>
        <v>989986.79910999921</v>
      </c>
      <c r="I480" s="14">
        <v>860128.2852077831</v>
      </c>
      <c r="J480" s="14">
        <v>47992.589264627197</v>
      </c>
      <c r="K480" s="14">
        <v>139178.53170094098</v>
      </c>
      <c r="M480" s="12">
        <f>MAX((Inputs!F$25*POWER(1+(Inputs!$C$3-(Inputs!$C$3*(('Steady State'!$A480-1)/Inputs!$C$4))),'Steady State'!$A480-1)),M479)</f>
        <v>48712.842776949758</v>
      </c>
      <c r="N480" s="12">
        <f>MAX((Inputs!G$25*POWER(1+(Inputs!$C$3-(Inputs!$C$3*(('Steady State'!$A480-1)/Inputs!$C$4))),'Steady State'!$A480-1)),N479)</f>
        <v>20876.932618692754</v>
      </c>
      <c r="O480" s="12">
        <v>0</v>
      </c>
      <c r="P480" s="12">
        <v>0</v>
      </c>
    </row>
    <row r="481" spans="1:16" x14ac:dyDescent="0.35">
      <c r="A481">
        <v>479</v>
      </c>
      <c r="C481" s="14">
        <f t="shared" si="29"/>
        <v>1038699.8172554092</v>
      </c>
      <c r="D481" s="14">
        <f t="shared" si="30"/>
        <v>881005.51185481506</v>
      </c>
      <c r="E481" s="14">
        <f t="shared" si="31"/>
        <v>47992.602155910572</v>
      </c>
      <c r="F481" s="14">
        <f t="shared" si="28"/>
        <v>69589.293107559555</v>
      </c>
      <c r="H481" s="14" cm="1">
        <f t="array" ref="H481:K481">MMULT($C480:$F480,P_Matrix)</f>
        <v>989986.97447845945</v>
      </c>
      <c r="I481" s="14">
        <v>860128.57923612231</v>
      </c>
      <c r="J481" s="14">
        <v>47992.602155910572</v>
      </c>
      <c r="K481" s="14">
        <v>139178.56826638518</v>
      </c>
      <c r="M481" s="12">
        <f>MAX((Inputs!F$25*POWER(1+(Inputs!$C$3-(Inputs!$C$3*(('Steady State'!$A481-1)/Inputs!$C$4))),'Steady State'!$A481-1)),M480)</f>
        <v>48712.842776949758</v>
      </c>
      <c r="N481" s="12">
        <f>MAX((Inputs!G$25*POWER(1+(Inputs!$C$3-(Inputs!$C$3*(('Steady State'!$A481-1)/Inputs!$C$4))),'Steady State'!$A481-1)),N480)</f>
        <v>20876.932618692754</v>
      </c>
      <c r="O481" s="12">
        <v>0</v>
      </c>
      <c r="P481" s="12">
        <v>0</v>
      </c>
    </row>
    <row r="482" spans="1:16" x14ac:dyDescent="0.35">
      <c r="A482">
        <v>480</v>
      </c>
      <c r="C482" s="14">
        <f t="shared" si="29"/>
        <v>1038699.9863311735</v>
      </c>
      <c r="D482" s="14">
        <f t="shared" si="30"/>
        <v>881005.79533367069</v>
      </c>
      <c r="E482" s="14">
        <f t="shared" si="31"/>
        <v>47992.614584648589</v>
      </c>
      <c r="F482" s="14">
        <f t="shared" si="28"/>
        <v>69589.310412284365</v>
      </c>
      <c r="H482" s="14" cm="1">
        <f t="array" ref="H482:K482">MMULT($C481:$F481,P_Matrix)</f>
        <v>989987.1435542237</v>
      </c>
      <c r="I482" s="14">
        <v>860128.86271497793</v>
      </c>
      <c r="J482" s="14">
        <v>47992.614584648589</v>
      </c>
      <c r="K482" s="14">
        <v>139178.60351984392</v>
      </c>
      <c r="M482" s="12">
        <f>MAX((Inputs!F$25*POWER(1+(Inputs!$C$3-(Inputs!$C$3*(('Steady State'!$A482-1)/Inputs!$C$4))),'Steady State'!$A482-1)),M481)</f>
        <v>48712.842776949758</v>
      </c>
      <c r="N482" s="12">
        <f>MAX((Inputs!G$25*POWER(1+(Inputs!$C$3-(Inputs!$C$3*(('Steady State'!$A482-1)/Inputs!$C$4))),'Steady State'!$A482-1)),N481)</f>
        <v>20876.932618692754</v>
      </c>
      <c r="O482" s="12">
        <v>0</v>
      </c>
      <c r="P482" s="12">
        <v>0</v>
      </c>
    </row>
    <row r="483" spans="1:16" x14ac:dyDescent="0.35">
      <c r="A483">
        <v>481</v>
      </c>
      <c r="C483" s="14">
        <f t="shared" si="29"/>
        <v>1038700.1493400544</v>
      </c>
      <c r="D483" s="14">
        <f t="shared" si="30"/>
        <v>881006.0686415357</v>
      </c>
      <c r="E483" s="14">
        <f t="shared" si="31"/>
        <v>47992.62656743759</v>
      </c>
      <c r="F483" s="14">
        <f t="shared" si="28"/>
        <v>69589.327096107474</v>
      </c>
      <c r="H483" s="14" cm="1">
        <f t="array" ref="H483:K483">MMULT($C482:$F482,P_Matrix)</f>
        <v>989987.30656310462</v>
      </c>
      <c r="I483" s="14">
        <v>860129.13602284295</v>
      </c>
      <c r="J483" s="14">
        <v>47992.62656743759</v>
      </c>
      <c r="K483" s="14">
        <v>139178.63750839184</v>
      </c>
      <c r="M483" s="12">
        <f>MAX((Inputs!F$25*POWER(1+(Inputs!$C$3-(Inputs!$C$3*(('Steady State'!$A483-1)/Inputs!$C$4))),'Steady State'!$A483-1)),M482)</f>
        <v>48712.842776949758</v>
      </c>
      <c r="N483" s="12">
        <f>MAX((Inputs!G$25*POWER(1+(Inputs!$C$3-(Inputs!$C$3*(('Steady State'!$A483-1)/Inputs!$C$4))),'Steady State'!$A483-1)),N482)</f>
        <v>20876.932618692754</v>
      </c>
      <c r="O483" s="12">
        <v>0</v>
      </c>
      <c r="P483" s="12">
        <v>0</v>
      </c>
    </row>
    <row r="484" spans="1:16" x14ac:dyDescent="0.35">
      <c r="A484">
        <v>482</v>
      </c>
      <c r="C484" s="14">
        <f t="shared" si="29"/>
        <v>1038700.30649976</v>
      </c>
      <c r="D484" s="14">
        <f t="shared" si="30"/>
        <v>881006.33214332466</v>
      </c>
      <c r="E484" s="14">
        <f t="shared" si="31"/>
        <v>47992.638120278454</v>
      </c>
      <c r="F484" s="14">
        <f t="shared" si="28"/>
        <v>69589.343181307107</v>
      </c>
      <c r="H484" s="14" cm="1">
        <f t="array" ref="H484:K484">MMULT($C483:$F483,P_Matrix)</f>
        <v>989987.46372281027</v>
      </c>
      <c r="I484" s="14">
        <v>860129.39952463191</v>
      </c>
      <c r="J484" s="14">
        <v>47992.638120278454</v>
      </c>
      <c r="K484" s="14">
        <v>139178.67027741458</v>
      </c>
      <c r="M484" s="12">
        <f>MAX((Inputs!F$25*POWER(1+(Inputs!$C$3-(Inputs!$C$3*(('Steady State'!$A484-1)/Inputs!$C$4))),'Steady State'!$A484-1)),M483)</f>
        <v>48712.842776949758</v>
      </c>
      <c r="N484" s="12">
        <f>MAX((Inputs!G$25*POWER(1+(Inputs!$C$3-(Inputs!$C$3*(('Steady State'!$A484-1)/Inputs!$C$4))),'Steady State'!$A484-1)),N483)</f>
        <v>20876.932618692754</v>
      </c>
      <c r="O484" s="12">
        <v>0</v>
      </c>
      <c r="P484" s="12">
        <v>0</v>
      </c>
    </row>
    <row r="485" spans="1:16" x14ac:dyDescent="0.35">
      <c r="A485">
        <v>483</v>
      </c>
      <c r="C485" s="14">
        <f t="shared" si="29"/>
        <v>1038700.4580201852</v>
      </c>
      <c r="D485" s="14">
        <f t="shared" si="30"/>
        <v>881006.58619086025</v>
      </c>
      <c r="E485" s="14">
        <f t="shared" si="31"/>
        <v>47992.649258597914</v>
      </c>
      <c r="F485" s="14">
        <f t="shared" si="28"/>
        <v>69589.358689362154</v>
      </c>
      <c r="H485" s="14" cm="1">
        <f t="array" ref="H485:K485">MMULT($C484:$F484,P_Matrix)</f>
        <v>989987.61524323549</v>
      </c>
      <c r="I485" s="14">
        <v>860129.6535721675</v>
      </c>
      <c r="J485" s="14">
        <v>47992.649258597914</v>
      </c>
      <c r="K485" s="14">
        <v>139178.70187066926</v>
      </c>
      <c r="M485" s="12">
        <f>MAX((Inputs!F$25*POWER(1+(Inputs!$C$3-(Inputs!$C$3*(('Steady State'!$A485-1)/Inputs!$C$4))),'Steady State'!$A485-1)),M484)</f>
        <v>48712.842776949758</v>
      </c>
      <c r="N485" s="12">
        <f>MAX((Inputs!G$25*POWER(1+(Inputs!$C$3-(Inputs!$C$3*(('Steady State'!$A485-1)/Inputs!$C$4))),'Steady State'!$A485-1)),N484)</f>
        <v>20876.932618692754</v>
      </c>
      <c r="O485" s="12">
        <v>0</v>
      </c>
      <c r="P485" s="12">
        <v>0</v>
      </c>
    </row>
    <row r="486" spans="1:16" x14ac:dyDescent="0.35">
      <c r="A486">
        <v>484</v>
      </c>
      <c r="C486" s="14">
        <f t="shared" si="29"/>
        <v>1038700.6041036922</v>
      </c>
      <c r="D486" s="14">
        <f t="shared" si="30"/>
        <v>881006.83112334367</v>
      </c>
      <c r="E486" s="14">
        <f t="shared" si="31"/>
        <v>47992.659997269206</v>
      </c>
      <c r="F486" s="14">
        <f t="shared" si="28"/>
        <v>69589.373640980833</v>
      </c>
      <c r="H486" s="14" cm="1">
        <f t="array" ref="H486:K486">MMULT($C485:$F485,P_Matrix)</f>
        <v>989987.76132674247</v>
      </c>
      <c r="I486" s="14">
        <v>860129.89850465092</v>
      </c>
      <c r="J486" s="14">
        <v>47992.659997269206</v>
      </c>
      <c r="K486" s="14">
        <v>139178.73233034299</v>
      </c>
      <c r="M486" s="12">
        <f>MAX((Inputs!F$25*POWER(1+(Inputs!$C$3-(Inputs!$C$3*(('Steady State'!$A486-1)/Inputs!$C$4))),'Steady State'!$A486-1)),M485)</f>
        <v>48712.842776949758</v>
      </c>
      <c r="N486" s="12">
        <f>MAX((Inputs!G$25*POWER(1+(Inputs!$C$3-(Inputs!$C$3*(('Steady State'!$A486-1)/Inputs!$C$4))),'Steady State'!$A486-1)),N485)</f>
        <v>20876.932618692754</v>
      </c>
      <c r="O486" s="12">
        <v>0</v>
      </c>
      <c r="P486" s="12">
        <v>0</v>
      </c>
    </row>
    <row r="487" spans="1:16" x14ac:dyDescent="0.35">
      <c r="A487">
        <v>485</v>
      </c>
      <c r="C487" s="14">
        <f t="shared" si="29"/>
        <v>1038700.7449453807</v>
      </c>
      <c r="D487" s="14">
        <f t="shared" si="30"/>
        <v>881007.0672678065</v>
      </c>
      <c r="E487" s="14">
        <f t="shared" si="31"/>
        <v>47992.670350631881</v>
      </c>
      <c r="F487" s="14">
        <f t="shared" si="28"/>
        <v>69589.388056128373</v>
      </c>
      <c r="H487" s="14" cm="1">
        <f t="array" ref="H487:K487">MMULT($C486:$F486,P_Matrix)</f>
        <v>989987.90216843097</v>
      </c>
      <c r="I487" s="14">
        <v>860130.13464911375</v>
      </c>
      <c r="J487" s="14">
        <v>47992.670350631881</v>
      </c>
      <c r="K487" s="14">
        <v>139178.76169710921</v>
      </c>
      <c r="M487" s="12">
        <f>MAX((Inputs!F$25*POWER(1+(Inputs!$C$3-(Inputs!$C$3*(('Steady State'!$A487-1)/Inputs!$C$4))),'Steady State'!$A487-1)),M486)</f>
        <v>48712.842776949758</v>
      </c>
      <c r="N487" s="12">
        <f>MAX((Inputs!G$25*POWER(1+(Inputs!$C$3-(Inputs!$C$3*(('Steady State'!$A487-1)/Inputs!$C$4))),'Steady State'!$A487-1)),N486)</f>
        <v>20876.932618692754</v>
      </c>
      <c r="O487" s="12">
        <v>0</v>
      </c>
      <c r="P487" s="12">
        <v>0</v>
      </c>
    </row>
    <row r="488" spans="1:16" x14ac:dyDescent="0.35">
      <c r="A488">
        <v>486</v>
      </c>
      <c r="C488" s="14">
        <f t="shared" si="29"/>
        <v>1038700.8807333489</v>
      </c>
      <c r="D488" s="14">
        <f t="shared" si="30"/>
        <v>881007.29493954813</v>
      </c>
      <c r="E488" s="14">
        <f t="shared" si="31"/>
        <v>47992.680332511001</v>
      </c>
      <c r="F488" s="14">
        <f t="shared" si="28"/>
        <v>69589.401954053581</v>
      </c>
      <c r="H488" s="14" cm="1">
        <f t="array" ref="H488:K488">MMULT($C487:$F487,P_Matrix)</f>
        <v>989988.03795639914</v>
      </c>
      <c r="I488" s="14">
        <v>860130.36232085538</v>
      </c>
      <c r="J488" s="14">
        <v>47992.680332511001</v>
      </c>
      <c r="K488" s="14">
        <v>139178.79001018195</v>
      </c>
      <c r="M488" s="12">
        <f>MAX((Inputs!F$25*POWER(1+(Inputs!$C$3-(Inputs!$C$3*(('Steady State'!$A488-1)/Inputs!$C$4))),'Steady State'!$A488-1)),M487)</f>
        <v>48712.842776949758</v>
      </c>
      <c r="N488" s="12">
        <f>MAX((Inputs!G$25*POWER(1+(Inputs!$C$3-(Inputs!$C$3*(('Steady State'!$A488-1)/Inputs!$C$4))),'Steady State'!$A488-1)),N487)</f>
        <v>20876.932618692754</v>
      </c>
      <c r="O488" s="12">
        <v>0</v>
      </c>
      <c r="P488" s="12">
        <v>0</v>
      </c>
    </row>
    <row r="489" spans="1:16" x14ac:dyDescent="0.35">
      <c r="A489">
        <v>487</v>
      </c>
      <c r="C489" s="14">
        <f t="shared" si="29"/>
        <v>1038701.0116489442</v>
      </c>
      <c r="D489" s="14">
        <f t="shared" si="30"/>
        <v>881007.51444255596</v>
      </c>
      <c r="E489" s="14">
        <f t="shared" si="31"/>
        <v>47992.689956235568</v>
      </c>
      <c r="F489" s="14">
        <f t="shared" si="28"/>
        <v>69589.41535331466</v>
      </c>
      <c r="H489" s="14" cm="1">
        <f t="array" ref="H489:K489">MMULT($C488:$F488,P_Matrix)</f>
        <v>989988.16887199448</v>
      </c>
      <c r="I489" s="14">
        <v>860130.58182386321</v>
      </c>
      <c r="J489" s="14">
        <v>47992.689956235568</v>
      </c>
      <c r="K489" s="14">
        <v>139178.81730736824</v>
      </c>
      <c r="M489" s="12">
        <f>MAX((Inputs!F$25*POWER(1+(Inputs!$C$3-(Inputs!$C$3*(('Steady State'!$A489-1)/Inputs!$C$4))),'Steady State'!$A489-1)),M488)</f>
        <v>48712.842776949758</v>
      </c>
      <c r="N489" s="12">
        <f>MAX((Inputs!G$25*POWER(1+(Inputs!$C$3-(Inputs!$C$3*(('Steady State'!$A489-1)/Inputs!$C$4))),'Steady State'!$A489-1)),N488)</f>
        <v>20876.932618692754</v>
      </c>
      <c r="O489" s="12">
        <v>0</v>
      </c>
      <c r="P489" s="12">
        <v>0</v>
      </c>
    </row>
    <row r="490" spans="1:16" x14ac:dyDescent="0.35">
      <c r="A490">
        <v>488</v>
      </c>
      <c r="C490" s="14">
        <f t="shared" si="29"/>
        <v>1038701.1378670065</v>
      </c>
      <c r="D490" s="14">
        <f t="shared" si="30"/>
        <v>881007.7260699115</v>
      </c>
      <c r="E490" s="14">
        <f t="shared" si="31"/>
        <v>47992.699234656342</v>
      </c>
      <c r="F490" s="14">
        <f t="shared" si="28"/>
        <v>69589.428271803888</v>
      </c>
      <c r="H490" s="14" cm="1">
        <f t="array" ref="H490:K490">MMULT($C489:$F489,P_Matrix)</f>
        <v>989988.29509005672</v>
      </c>
      <c r="I490" s="14">
        <v>860130.79345121875</v>
      </c>
      <c r="J490" s="14">
        <v>47992.699234656342</v>
      </c>
      <c r="K490" s="14">
        <v>139178.84362511855</v>
      </c>
      <c r="M490" s="12">
        <f>MAX((Inputs!F$25*POWER(1+(Inputs!$C$3-(Inputs!$C$3*(('Steady State'!$A490-1)/Inputs!$C$4))),'Steady State'!$A490-1)),M489)</f>
        <v>48712.842776949758</v>
      </c>
      <c r="N490" s="12">
        <f>MAX((Inputs!G$25*POWER(1+(Inputs!$C$3-(Inputs!$C$3*(('Steady State'!$A490-1)/Inputs!$C$4))),'Steady State'!$A490-1)),N489)</f>
        <v>20876.932618692754</v>
      </c>
      <c r="O490" s="12">
        <v>0</v>
      </c>
      <c r="P490" s="12">
        <v>0</v>
      </c>
    </row>
    <row r="491" spans="1:16" x14ac:dyDescent="0.35">
      <c r="A491">
        <v>489</v>
      </c>
      <c r="C491" s="14">
        <f t="shared" si="29"/>
        <v>1038701.2595561006</v>
      </c>
      <c r="D491" s="14">
        <f t="shared" si="30"/>
        <v>881007.93010418152</v>
      </c>
      <c r="E491" s="14">
        <f t="shared" si="31"/>
        <v>47992.708180162983</v>
      </c>
      <c r="F491" s="14">
        <f t="shared" si="28"/>
        <v>69589.440726771601</v>
      </c>
      <c r="H491" s="14" cm="1">
        <f t="array" ref="H491:K491">MMULT($C490:$F490,P_Matrix)</f>
        <v>989988.41677915084</v>
      </c>
      <c r="I491" s="14">
        <v>860130.99748548877</v>
      </c>
      <c r="J491" s="14">
        <v>47992.708180162983</v>
      </c>
      <c r="K491" s="14">
        <v>139178.86899857549</v>
      </c>
      <c r="M491" s="12">
        <f>MAX((Inputs!F$25*POWER(1+(Inputs!$C$3-(Inputs!$C$3*(('Steady State'!$A491-1)/Inputs!$C$4))),'Steady State'!$A491-1)),M490)</f>
        <v>48712.842776949758</v>
      </c>
      <c r="N491" s="12">
        <f>MAX((Inputs!G$25*POWER(1+(Inputs!$C$3-(Inputs!$C$3*(('Steady State'!$A491-1)/Inputs!$C$4))),'Steady State'!$A491-1)),N490)</f>
        <v>20876.932618692754</v>
      </c>
      <c r="O491" s="12">
        <v>0</v>
      </c>
      <c r="P491" s="12">
        <v>0</v>
      </c>
    </row>
    <row r="492" spans="1:16" x14ac:dyDescent="0.35">
      <c r="A492">
        <v>490</v>
      </c>
      <c r="C492" s="14">
        <f t="shared" si="29"/>
        <v>1038701.3768787422</v>
      </c>
      <c r="D492" s="14">
        <f t="shared" si="30"/>
        <v>881008.12681779522</v>
      </c>
      <c r="E492" s="14">
        <f t="shared" si="31"/>
        <v>47992.716804700613</v>
      </c>
      <c r="F492" s="14">
        <f t="shared" si="28"/>
        <v>69589.452734849212</v>
      </c>
      <c r="H492" s="14" cm="1">
        <f t="array" ref="H492:K492">MMULT($C491:$F491,P_Matrix)</f>
        <v>989988.53410179249</v>
      </c>
      <c r="I492" s="14">
        <v>860131.19419910247</v>
      </c>
      <c r="J492" s="14">
        <v>47992.716804700613</v>
      </c>
      <c r="K492" s="14">
        <v>139178.89346162081</v>
      </c>
      <c r="M492" s="12">
        <f>MAX((Inputs!F$25*POWER(1+(Inputs!$C$3-(Inputs!$C$3*(('Steady State'!$A492-1)/Inputs!$C$4))),'Steady State'!$A492-1)),M491)</f>
        <v>48712.842776949758</v>
      </c>
      <c r="N492" s="12">
        <f>MAX((Inputs!G$25*POWER(1+(Inputs!$C$3-(Inputs!$C$3*(('Steady State'!$A492-1)/Inputs!$C$4))),'Steady State'!$A492-1)),N491)</f>
        <v>20876.932618692754</v>
      </c>
      <c r="O492" s="12">
        <v>0</v>
      </c>
      <c r="P492" s="12">
        <v>0</v>
      </c>
    </row>
    <row r="493" spans="1:16" x14ac:dyDescent="0.35">
      <c r="A493">
        <v>491</v>
      </c>
      <c r="C493" s="14">
        <f t="shared" si="29"/>
        <v>1038701.4899916154</v>
      </c>
      <c r="D493" s="14">
        <f t="shared" si="30"/>
        <v>881008.31647340814</v>
      </c>
      <c r="E493" s="14">
        <f t="shared" si="31"/>
        <v>47992.72511978574</v>
      </c>
      <c r="F493" s="14">
        <f t="shared" si="28"/>
        <v>69589.464312071272</v>
      </c>
      <c r="H493" s="14" cm="1">
        <f t="array" ref="H493:K493">MMULT($C492:$F492,P_Matrix)</f>
        <v>989988.64721466566</v>
      </c>
      <c r="I493" s="14">
        <v>860131.38385471539</v>
      </c>
      <c r="J493" s="14">
        <v>47992.72511978574</v>
      </c>
      <c r="K493" s="14">
        <v>139178.91704692048</v>
      </c>
      <c r="M493" s="12">
        <f>MAX((Inputs!F$25*POWER(1+(Inputs!$C$3-(Inputs!$C$3*(('Steady State'!$A493-1)/Inputs!$C$4))),'Steady State'!$A493-1)),M492)</f>
        <v>48712.842776949758</v>
      </c>
      <c r="N493" s="12">
        <f>MAX((Inputs!G$25*POWER(1+(Inputs!$C$3-(Inputs!$C$3*(('Steady State'!$A493-1)/Inputs!$C$4))),'Steady State'!$A493-1)),N492)</f>
        <v>20876.932618692754</v>
      </c>
      <c r="O493" s="12">
        <v>0</v>
      </c>
      <c r="P493" s="12">
        <v>0</v>
      </c>
    </row>
    <row r="494" spans="1:16" x14ac:dyDescent="0.35">
      <c r="A494">
        <v>492</v>
      </c>
      <c r="C494" s="14">
        <f t="shared" si="29"/>
        <v>1038701.5990457807</v>
      </c>
      <c r="D494" s="14">
        <f t="shared" si="30"/>
        <v>881008.49932425201</v>
      </c>
      <c r="E494" s="14">
        <f t="shared" si="31"/>
        <v>47992.733136521681</v>
      </c>
      <c r="F494" s="14">
        <f t="shared" si="28"/>
        <v>69589.475473897124</v>
      </c>
      <c r="H494" s="14" cm="1">
        <f t="array" ref="H494:K494">MMULT($C493:$F493,P_Matrix)</f>
        <v>989988.75626883097</v>
      </c>
      <c r="I494" s="14">
        <v>860131.56670555926</v>
      </c>
      <c r="J494" s="14">
        <v>47992.733136521681</v>
      </c>
      <c r="K494" s="14">
        <v>139178.9397859684</v>
      </c>
      <c r="M494" s="12">
        <f>MAX((Inputs!F$25*POWER(1+(Inputs!$C$3-(Inputs!$C$3*(('Steady State'!$A494-1)/Inputs!$C$4))),'Steady State'!$A494-1)),M493)</f>
        <v>48712.842776949758</v>
      </c>
      <c r="N494" s="12">
        <f>MAX((Inputs!G$25*POWER(1+(Inputs!$C$3-(Inputs!$C$3*(('Steady State'!$A494-1)/Inputs!$C$4))),'Steady State'!$A494-1)),N493)</f>
        <v>20876.932618692754</v>
      </c>
      <c r="O494" s="12">
        <v>0</v>
      </c>
      <c r="P494" s="12">
        <v>0</v>
      </c>
    </row>
    <row r="495" spans="1:16" x14ac:dyDescent="0.35">
      <c r="A495">
        <v>493</v>
      </c>
      <c r="C495" s="14">
        <f t="shared" si="29"/>
        <v>1038701.7041868783</v>
      </c>
      <c r="D495" s="14">
        <f t="shared" si="30"/>
        <v>881008.67561447388</v>
      </c>
      <c r="E495" s="14">
        <f t="shared" si="31"/>
        <v>47992.740865613334</v>
      </c>
      <c r="F495" s="14">
        <f t="shared" si="28"/>
        <v>69589.486235231394</v>
      </c>
      <c r="H495" s="14" cm="1">
        <f t="array" ref="H495:K495">MMULT($C494:$F494,P_Matrix)</f>
        <v>989988.86140992853</v>
      </c>
      <c r="I495" s="14">
        <v>860131.74299578113</v>
      </c>
      <c r="J495" s="14">
        <v>47992.740865613334</v>
      </c>
      <c r="K495" s="14">
        <v>139178.96170912852</v>
      </c>
      <c r="M495" s="12">
        <f>MAX((Inputs!F$25*POWER(1+(Inputs!$C$3-(Inputs!$C$3*(('Steady State'!$A495-1)/Inputs!$C$4))),'Steady State'!$A495-1)),M494)</f>
        <v>48712.842776949758</v>
      </c>
      <c r="N495" s="12">
        <f>MAX((Inputs!G$25*POWER(1+(Inputs!$C$3-(Inputs!$C$3*(('Steady State'!$A495-1)/Inputs!$C$4))),'Steady State'!$A495-1)),N494)</f>
        <v>20876.932618692754</v>
      </c>
      <c r="O495" s="12">
        <v>0</v>
      </c>
      <c r="P495" s="12">
        <v>0</v>
      </c>
    </row>
    <row r="496" spans="1:16" x14ac:dyDescent="0.35">
      <c r="A496">
        <v>494</v>
      </c>
      <c r="C496" s="14">
        <f t="shared" si="29"/>
        <v>1038701.8055553214</v>
      </c>
      <c r="D496" s="14">
        <f t="shared" si="30"/>
        <v>881008.84557946108</v>
      </c>
      <c r="E496" s="14">
        <f t="shared" si="31"/>
        <v>47992.748317381527</v>
      </c>
      <c r="F496" s="14">
        <f t="shared" si="28"/>
        <v>69589.496610443894</v>
      </c>
      <c r="H496" s="14" cm="1">
        <f t="array" ref="H496:K496">MMULT($C495:$F495,P_Matrix)</f>
        <v>989988.96277837164</v>
      </c>
      <c r="I496" s="14">
        <v>860131.91296076833</v>
      </c>
      <c r="J496" s="14">
        <v>47992.748317381527</v>
      </c>
      <c r="K496" s="14">
        <v>139178.98284567529</v>
      </c>
      <c r="M496" s="12">
        <f>MAX((Inputs!F$25*POWER(1+(Inputs!$C$3-(Inputs!$C$3*(('Steady State'!$A496-1)/Inputs!$C$4))),'Steady State'!$A496-1)),M495)</f>
        <v>48712.842776949758</v>
      </c>
      <c r="N496" s="12">
        <f>MAX((Inputs!G$25*POWER(1+(Inputs!$C$3-(Inputs!$C$3*(('Steady State'!$A496-1)/Inputs!$C$4))),'Steady State'!$A496-1)),N495)</f>
        <v>20876.932618692754</v>
      </c>
      <c r="O496" s="12">
        <v>0</v>
      </c>
      <c r="P496" s="12">
        <v>0</v>
      </c>
    </row>
    <row r="497" spans="1:16" x14ac:dyDescent="0.35">
      <c r="A497">
        <v>495</v>
      </c>
      <c r="C497" s="14">
        <f t="shared" si="29"/>
        <v>1038701.9032864847</v>
      </c>
      <c r="D497" s="14">
        <f t="shared" si="30"/>
        <v>881009.00944615621</v>
      </c>
      <c r="E497" s="14">
        <f t="shared" si="31"/>
        <v>47992.755501776744</v>
      </c>
      <c r="F497" s="14">
        <f t="shared" si="28"/>
        <v>69589.506613388861</v>
      </c>
      <c r="H497" s="14" cm="1">
        <f t="array" ref="H497:K497">MMULT($C496:$F496,P_Matrix)</f>
        <v>989989.0605095349</v>
      </c>
      <c r="I497" s="14">
        <v>860132.07682746346</v>
      </c>
      <c r="J497" s="14">
        <v>47992.755501776744</v>
      </c>
      <c r="K497" s="14">
        <v>139179.00322383275</v>
      </c>
      <c r="M497" s="12">
        <f>MAX((Inputs!F$25*POWER(1+(Inputs!$C$3-(Inputs!$C$3*(('Steady State'!$A497-1)/Inputs!$C$4))),'Steady State'!$A497-1)),M496)</f>
        <v>48712.842776949758</v>
      </c>
      <c r="N497" s="12">
        <f>MAX((Inputs!G$25*POWER(1+(Inputs!$C$3-(Inputs!$C$3*(('Steady State'!$A497-1)/Inputs!$C$4))),'Steady State'!$A497-1)),N496)</f>
        <v>20876.932618692754</v>
      </c>
      <c r="O497" s="12">
        <v>0</v>
      </c>
      <c r="P497" s="12">
        <v>0</v>
      </c>
    </row>
    <row r="498" spans="1:16" x14ac:dyDescent="0.35">
      <c r="A498">
        <v>496</v>
      </c>
      <c r="C498" s="14">
        <f t="shared" si="29"/>
        <v>1038701.9975108845</v>
      </c>
      <c r="D498" s="14">
        <f t="shared" si="30"/>
        <v>881009.16743335966</v>
      </c>
      <c r="E498" s="14">
        <f t="shared" si="31"/>
        <v>47992.762428392452</v>
      </c>
      <c r="F498" s="14">
        <f t="shared" si="28"/>
        <v>69589.516257423413</v>
      </c>
      <c r="H498" s="14" cm="1">
        <f t="array" ref="H498:K498">MMULT($C497:$F497,P_Matrix)</f>
        <v>989989.15473393479</v>
      </c>
      <c r="I498" s="14">
        <v>860132.23481466691</v>
      </c>
      <c r="J498" s="14">
        <v>47992.762428392452</v>
      </c>
      <c r="K498" s="14">
        <v>139179.02287081227</v>
      </c>
      <c r="M498" s="12">
        <f>MAX((Inputs!F$25*POWER(1+(Inputs!$C$3-(Inputs!$C$3*(('Steady State'!$A498-1)/Inputs!$C$4))),'Steady State'!$A498-1)),M497)</f>
        <v>48712.842776949758</v>
      </c>
      <c r="N498" s="12">
        <f>MAX((Inputs!G$25*POWER(1+(Inputs!$C$3-(Inputs!$C$3*(('Steady State'!$A498-1)/Inputs!$C$4))),'Steady State'!$A498-1)),N497)</f>
        <v>20876.932618692754</v>
      </c>
      <c r="O498" s="12">
        <v>0</v>
      </c>
      <c r="P498" s="12">
        <v>0</v>
      </c>
    </row>
    <row r="499" spans="1:16" x14ac:dyDescent="0.35">
      <c r="A499">
        <v>497</v>
      </c>
      <c r="C499" s="14">
        <f t="shared" si="29"/>
        <v>1038702.088354354</v>
      </c>
      <c r="D499" s="14">
        <f t="shared" si="30"/>
        <v>881009.31975202169</v>
      </c>
      <c r="E499" s="14">
        <f t="shared" si="31"/>
        <v>47992.769106477914</v>
      </c>
      <c r="F499" s="14">
        <f t="shared" si="28"/>
        <v>69589.52555542544</v>
      </c>
      <c r="H499" s="14" cm="1">
        <f t="array" ref="H499:K499">MMULT($C498:$F498,P_Matrix)</f>
        <v>989989.24557740428</v>
      </c>
      <c r="I499" s="14">
        <v>860132.38713332894</v>
      </c>
      <c r="J499" s="14">
        <v>47992.769106477914</v>
      </c>
      <c r="K499" s="14">
        <v>139179.04181284885</v>
      </c>
      <c r="M499" s="12">
        <f>MAX((Inputs!F$25*POWER(1+(Inputs!$C$3-(Inputs!$C$3*(('Steady State'!$A499-1)/Inputs!$C$4))),'Steady State'!$A499-1)),M498)</f>
        <v>48712.842776949758</v>
      </c>
      <c r="N499" s="12">
        <f>MAX((Inputs!G$25*POWER(1+(Inputs!$C$3-(Inputs!$C$3*(('Steady State'!$A499-1)/Inputs!$C$4))),'Steady State'!$A499-1)),N498)</f>
        <v>20876.932618692754</v>
      </c>
      <c r="O499" s="12">
        <v>0</v>
      </c>
      <c r="P499" s="12">
        <v>0</v>
      </c>
    </row>
    <row r="500" spans="1:16" x14ac:dyDescent="0.35">
      <c r="A500">
        <v>498</v>
      </c>
      <c r="C500" s="14">
        <f t="shared" si="29"/>
        <v>1038702.1759382105</v>
      </c>
      <c r="D500" s="14">
        <f t="shared" si="30"/>
        <v>881009.4666055243</v>
      </c>
      <c r="E500" s="14">
        <f t="shared" si="31"/>
        <v>47992.775544950506</v>
      </c>
      <c r="F500" s="14">
        <f t="shared" si="28"/>
        <v>69589.534519810753</v>
      </c>
      <c r="H500" s="14" cm="1">
        <f t="array" ref="H500:K500">MMULT($C499:$F499,P_Matrix)</f>
        <v>989989.3331612607</v>
      </c>
      <c r="I500" s="14">
        <v>860132.53398683155</v>
      </c>
      <c r="J500" s="14">
        <v>47992.775544950506</v>
      </c>
      <c r="K500" s="14">
        <v>139179.06007523619</v>
      </c>
      <c r="M500" s="12">
        <f>MAX((Inputs!F$25*POWER(1+(Inputs!$C$3-(Inputs!$C$3*(('Steady State'!$A500-1)/Inputs!$C$4))),'Steady State'!$A500-1)),M499)</f>
        <v>48712.842776949758</v>
      </c>
      <c r="N500" s="12">
        <f>MAX((Inputs!G$25*POWER(1+(Inputs!$C$3-(Inputs!$C$3*(('Steady State'!$A500-1)/Inputs!$C$4))),'Steady State'!$A500-1)),N499)</f>
        <v>20876.932618692754</v>
      </c>
      <c r="O500" s="12">
        <v>0</v>
      </c>
      <c r="P500" s="12">
        <v>0</v>
      </c>
    </row>
    <row r="501" spans="1:16" x14ac:dyDescent="0.35">
      <c r="A501">
        <v>499</v>
      </c>
      <c r="C501" s="14">
        <f t="shared" si="29"/>
        <v>1038702.2603794178</v>
      </c>
      <c r="D501" s="14">
        <f t="shared" si="30"/>
        <v>881009.60818995256</v>
      </c>
      <c r="E501" s="14">
        <f t="shared" si="31"/>
        <v>47992.781752407653</v>
      </c>
      <c r="F501" s="14">
        <f t="shared" si="28"/>
        <v>69589.543162549671</v>
      </c>
      <c r="H501" s="14" cm="1">
        <f t="array" ref="H501:K501">MMULT($C500:$F500,P_Matrix)</f>
        <v>989989.41760246805</v>
      </c>
      <c r="I501" s="14">
        <v>860132.67557125981</v>
      </c>
      <c r="J501" s="14">
        <v>47992.781752407653</v>
      </c>
      <c r="K501" s="14">
        <v>139179.07768236042</v>
      </c>
      <c r="M501" s="12">
        <f>MAX((Inputs!F$25*POWER(1+(Inputs!$C$3-(Inputs!$C$3*(('Steady State'!$A501-1)/Inputs!$C$4))),'Steady State'!$A501-1)),M500)</f>
        <v>48712.842776949758</v>
      </c>
      <c r="N501" s="12">
        <f>MAX((Inputs!G$25*POWER(1+(Inputs!$C$3-(Inputs!$C$3*(('Steady State'!$A501-1)/Inputs!$C$4))),'Steady State'!$A501-1)),N500)</f>
        <v>20876.932618692754</v>
      </c>
      <c r="O501" s="12">
        <v>0</v>
      </c>
      <c r="P501" s="12">
        <v>0</v>
      </c>
    </row>
    <row r="502" spans="1:16" x14ac:dyDescent="0.35">
      <c r="A502">
        <v>500</v>
      </c>
      <c r="C502" s="14">
        <f t="shared" si="29"/>
        <v>1038702.3417907426</v>
      </c>
      <c r="D502" s="14">
        <f t="shared" si="30"/>
        <v>881009.74469435646</v>
      </c>
      <c r="E502" s="14">
        <f t="shared" si="31"/>
        <v>47992.787737138293</v>
      </c>
      <c r="F502" s="14">
        <f t="shared" si="28"/>
        <v>69589.551495183026</v>
      </c>
      <c r="H502" s="14" cm="1">
        <f t="array" ref="H502:K502">MMULT($C501:$F501,P_Matrix)</f>
        <v>989989.49901379284</v>
      </c>
      <c r="I502" s="14">
        <v>860132.81207566371</v>
      </c>
      <c r="J502" s="14">
        <v>47992.787737138293</v>
      </c>
      <c r="K502" s="14">
        <v>139179.0946577327</v>
      </c>
      <c r="M502" s="12">
        <f>MAX((Inputs!F$25*POWER(1+(Inputs!$C$3-(Inputs!$C$3*(('Steady State'!$A502-1)/Inputs!$C$4))),'Steady State'!$A502-1)),M501)</f>
        <v>48712.842776949758</v>
      </c>
      <c r="N502" s="12">
        <f>MAX((Inputs!G$25*POWER(1+(Inputs!$C$3-(Inputs!$C$3*(('Steady State'!$A502-1)/Inputs!$C$4))),'Steady State'!$A502-1)),N501)</f>
        <v>20876.932618692754</v>
      </c>
      <c r="O502" s="12">
        <v>0</v>
      </c>
      <c r="P502" s="12">
        <v>0</v>
      </c>
    </row>
    <row r="503" spans="1:16" x14ac:dyDescent="0.35">
      <c r="A503">
        <v>501</v>
      </c>
      <c r="C503" s="14">
        <f t="shared" si="29"/>
        <v>1038702.4202809051</v>
      </c>
      <c r="D503" s="14">
        <f t="shared" si="30"/>
        <v>881009.87630100315</v>
      </c>
      <c r="E503" s="14">
        <f t="shared" si="31"/>
        <v>47992.793507133967</v>
      </c>
      <c r="F503" s="14">
        <f t="shared" si="28"/>
        <v>69589.559528837533</v>
      </c>
      <c r="H503" s="14" cm="1">
        <f t="array" ref="H503:K503">MMULT($C502:$F502,P_Matrix)</f>
        <v>989989.57750395534</v>
      </c>
      <c r="I503" s="14">
        <v>860132.9436823104</v>
      </c>
      <c r="J503" s="14">
        <v>47992.793507133967</v>
      </c>
      <c r="K503" s="14">
        <v>139179.11102402056</v>
      </c>
      <c r="M503" s="12">
        <f>MAX((Inputs!F$25*POWER(1+(Inputs!$C$3-(Inputs!$C$3*(('Steady State'!$A503-1)/Inputs!$C$4))),'Steady State'!$A503-1)),M502)</f>
        <v>48712.842776949758</v>
      </c>
      <c r="N503" s="12">
        <f>MAX((Inputs!G$25*POWER(1+(Inputs!$C$3-(Inputs!$C$3*(('Steady State'!$A503-1)/Inputs!$C$4))),'Steady State'!$A503-1)),N502)</f>
        <v>20876.932618692754</v>
      </c>
      <c r="O503" s="12">
        <v>0</v>
      </c>
      <c r="P503" s="12">
        <v>0</v>
      </c>
    </row>
    <row r="504" spans="1:16" x14ac:dyDescent="0.35">
      <c r="A504">
        <v>502</v>
      </c>
      <c r="C504" s="14">
        <f t="shared" si="29"/>
        <v>1038702.4959547238</v>
      </c>
      <c r="D504" s="14">
        <f t="shared" si="30"/>
        <v>881010.00318562042</v>
      </c>
      <c r="E504" s="14">
        <f t="shared" si="31"/>
        <v>47992.799070099463</v>
      </c>
      <c r="F504" s="14">
        <f t="shared" si="28"/>
        <v>69589.567274240748</v>
      </c>
      <c r="H504" s="14" cm="1">
        <f t="array" ref="H504:K504">MMULT($C503:$F503,P_Matrix)</f>
        <v>989989.65317777405</v>
      </c>
      <c r="I504" s="14">
        <v>860133.07056692766</v>
      </c>
      <c r="J504" s="14">
        <v>47992.799070099463</v>
      </c>
      <c r="K504" s="14">
        <v>139179.12680307828</v>
      </c>
      <c r="M504" s="12">
        <f>MAX((Inputs!F$25*POWER(1+(Inputs!$C$3-(Inputs!$C$3*(('Steady State'!$A504-1)/Inputs!$C$4))),'Steady State'!$A504-1)),M503)</f>
        <v>48712.842776949758</v>
      </c>
      <c r="N504" s="12">
        <f>MAX((Inputs!G$25*POWER(1+(Inputs!$C$3-(Inputs!$C$3*(('Steady State'!$A504-1)/Inputs!$C$4))),'Steady State'!$A504-1)),N503)</f>
        <v>20876.932618692754</v>
      </c>
      <c r="O504" s="12">
        <v>0</v>
      </c>
      <c r="P504" s="12">
        <v>0</v>
      </c>
    </row>
    <row r="505" spans="1:16" x14ac:dyDescent="0.35">
      <c r="A505">
        <v>503</v>
      </c>
      <c r="C505" s="14">
        <f t="shared" si="29"/>
        <v>1038702.5689132562</v>
      </c>
      <c r="D505" s="14">
        <f t="shared" si="30"/>
        <v>881010.12551763153</v>
      </c>
      <c r="E505" s="14">
        <f t="shared" si="31"/>
        <v>47992.804433463119</v>
      </c>
      <c r="F505" s="14">
        <f t="shared" si="28"/>
        <v>69589.57474173521</v>
      </c>
      <c r="H505" s="14" cm="1">
        <f t="array" ref="H505:K505">MMULT($C504:$F504,P_Matrix)</f>
        <v>989989.72613630642</v>
      </c>
      <c r="I505" s="14">
        <v>860133.19289893878</v>
      </c>
      <c r="J505" s="14">
        <v>47992.804433463119</v>
      </c>
      <c r="K505" s="14">
        <v>139179.14201597596</v>
      </c>
      <c r="M505" s="12">
        <f>MAX((Inputs!F$25*POWER(1+(Inputs!$C$3-(Inputs!$C$3*(('Steady State'!$A505-1)/Inputs!$C$4))),'Steady State'!$A505-1)),M504)</f>
        <v>48712.842776949758</v>
      </c>
      <c r="N505" s="12">
        <f>MAX((Inputs!G$25*POWER(1+(Inputs!$C$3-(Inputs!$C$3*(('Steady State'!$A505-1)/Inputs!$C$4))),'Steady State'!$A505-1)),N504)</f>
        <v>20876.932618692754</v>
      </c>
      <c r="O505" s="12">
        <v>0</v>
      </c>
      <c r="P505" s="12">
        <v>0</v>
      </c>
    </row>
    <row r="506" spans="1:16" x14ac:dyDescent="0.35">
      <c r="A506">
        <v>504</v>
      </c>
      <c r="C506" s="14">
        <f t="shared" si="29"/>
        <v>1038702.6392539332</v>
      </c>
      <c r="D506" s="14">
        <f t="shared" si="30"/>
        <v>881010.24346038094</v>
      </c>
      <c r="E506" s="14">
        <f t="shared" si="31"/>
        <v>47992.809604386748</v>
      </c>
      <c r="F506" s="14">
        <f t="shared" si="28"/>
        <v>69589.581941292417</v>
      </c>
      <c r="H506" s="14" cm="1">
        <f t="array" ref="H506:K506">MMULT($C505:$F505,P_Matrix)</f>
        <v>989989.79647698347</v>
      </c>
      <c r="I506" s="14">
        <v>860133.31084168819</v>
      </c>
      <c r="J506" s="14">
        <v>47992.809604386748</v>
      </c>
      <c r="K506" s="14">
        <v>139179.15668302763</v>
      </c>
      <c r="M506" s="12">
        <f>MAX((Inputs!F$25*POWER(1+(Inputs!$C$3-(Inputs!$C$3*(('Steady State'!$A506-1)/Inputs!$C$4))),'Steady State'!$A506-1)),M505)</f>
        <v>48712.842776949758</v>
      </c>
      <c r="N506" s="12">
        <f>MAX((Inputs!G$25*POWER(1+(Inputs!$C$3-(Inputs!$C$3*(('Steady State'!$A506-1)/Inputs!$C$4))),'Steady State'!$A506-1)),N505)</f>
        <v>20876.932618692754</v>
      </c>
      <c r="O506" s="12">
        <v>0</v>
      </c>
      <c r="P506" s="12">
        <v>0</v>
      </c>
    </row>
    <row r="507" spans="1:16" x14ac:dyDescent="0.35">
      <c r="A507">
        <v>505</v>
      </c>
      <c r="C507" s="14">
        <f t="shared" si="29"/>
        <v>1038702.7070706894</v>
      </c>
      <c r="D507" s="14">
        <f t="shared" si="30"/>
        <v>881010.3571713526</v>
      </c>
      <c r="E507" s="14">
        <f t="shared" si="31"/>
        <v>47992.814589775189</v>
      </c>
      <c r="F507" s="14">
        <f t="shared" si="28"/>
        <v>69589.588882526121</v>
      </c>
      <c r="H507" s="14" cm="1">
        <f t="array" ref="H507:K507">MMULT($C506:$F506,P_Matrix)</f>
        <v>989989.86429373967</v>
      </c>
      <c r="I507" s="14">
        <v>860133.42455265985</v>
      </c>
      <c r="J507" s="14">
        <v>47992.814589775189</v>
      </c>
      <c r="K507" s="14">
        <v>139179.17082381854</v>
      </c>
      <c r="M507" s="12">
        <f>MAX((Inputs!F$25*POWER(1+(Inputs!$C$3-(Inputs!$C$3*(('Steady State'!$A507-1)/Inputs!$C$4))),'Steady State'!$A507-1)),M506)</f>
        <v>48712.842776949758</v>
      </c>
      <c r="N507" s="12">
        <f>MAX((Inputs!G$25*POWER(1+(Inputs!$C$3-(Inputs!$C$3*(('Steady State'!$A507-1)/Inputs!$C$4))),'Steady State'!$A507-1)),N506)</f>
        <v>20876.932618692754</v>
      </c>
      <c r="O507" s="12">
        <v>0</v>
      </c>
      <c r="P507" s="12">
        <v>0</v>
      </c>
    </row>
    <row r="508" spans="1:16" x14ac:dyDescent="0.35">
      <c r="A508">
        <v>506</v>
      </c>
      <c r="C508" s="14">
        <f t="shared" si="29"/>
        <v>1038702.7724540888</v>
      </c>
      <c r="D508" s="14">
        <f t="shared" si="30"/>
        <v>881010.46680238028</v>
      </c>
      <c r="E508" s="14">
        <f t="shared" si="31"/>
        <v>47992.819396285529</v>
      </c>
      <c r="F508" s="14">
        <f t="shared" si="28"/>
        <v>69589.595574705047</v>
      </c>
      <c r="H508" s="14" cm="1">
        <f t="array" ref="H508:K508">MMULT($C507:$F507,P_Matrix)</f>
        <v>989989.92967713904</v>
      </c>
      <c r="I508" s="14">
        <v>860133.53418368753</v>
      </c>
      <c r="J508" s="14">
        <v>47992.819396285529</v>
      </c>
      <c r="K508" s="14">
        <v>139179.18445723117</v>
      </c>
      <c r="M508" s="12">
        <f>MAX((Inputs!F$25*POWER(1+(Inputs!$C$3-(Inputs!$C$3*(('Steady State'!$A508-1)/Inputs!$C$4))),'Steady State'!$A508-1)),M507)</f>
        <v>48712.842776949758</v>
      </c>
      <c r="N508" s="12">
        <f>MAX((Inputs!G$25*POWER(1+(Inputs!$C$3-(Inputs!$C$3*(('Steady State'!$A508-1)/Inputs!$C$4))),'Steady State'!$A508-1)),N507)</f>
        <v>20876.932618692754</v>
      </c>
      <c r="O508" s="12">
        <v>0</v>
      </c>
      <c r="P508" s="12">
        <v>0</v>
      </c>
    </row>
    <row r="509" spans="1:16" x14ac:dyDescent="0.35">
      <c r="A509">
        <v>507</v>
      </c>
      <c r="C509" s="14">
        <f t="shared" si="29"/>
        <v>1038702.8354914455</v>
      </c>
      <c r="D509" s="14">
        <f t="shared" si="30"/>
        <v>881010.57249985007</v>
      </c>
      <c r="E509" s="14">
        <f t="shared" si="31"/>
        <v>47992.824030336007</v>
      </c>
      <c r="F509" s="14">
        <f t="shared" si="28"/>
        <v>69589.602026765468</v>
      </c>
      <c r="H509" s="14" cm="1">
        <f t="array" ref="H509:K509">MMULT($C508:$F508,P_Matrix)</f>
        <v>989989.99271449575</v>
      </c>
      <c r="I509" s="14">
        <v>860133.63988115732</v>
      </c>
      <c r="J509" s="14">
        <v>47992.824030336007</v>
      </c>
      <c r="K509" s="14">
        <v>139179.19760147051</v>
      </c>
      <c r="M509" s="12">
        <f>MAX((Inputs!F$25*POWER(1+(Inputs!$C$3-(Inputs!$C$3*(('Steady State'!$A509-1)/Inputs!$C$4))),'Steady State'!$A509-1)),M508)</f>
        <v>48712.842776949758</v>
      </c>
      <c r="N509" s="12">
        <f>MAX((Inputs!G$25*POWER(1+(Inputs!$C$3-(Inputs!$C$3*(('Steady State'!$A509-1)/Inputs!$C$4))),'Steady State'!$A509-1)),N508)</f>
        <v>20876.932618692754</v>
      </c>
      <c r="O509" s="12">
        <v>0</v>
      </c>
      <c r="P509" s="12">
        <v>0</v>
      </c>
    </row>
    <row r="510" spans="1:16" x14ac:dyDescent="0.35">
      <c r="A510">
        <v>508</v>
      </c>
      <c r="C510" s="14">
        <f t="shared" si="29"/>
        <v>1038702.8962669405</v>
      </c>
      <c r="D510" s="14">
        <f t="shared" si="30"/>
        <v>881010.67440489598</v>
      </c>
      <c r="E510" s="14">
        <f t="shared" si="31"/>
        <v>47992.828498114555</v>
      </c>
      <c r="F510" s="14">
        <f t="shared" si="28"/>
        <v>69589.608247322845</v>
      </c>
      <c r="H510" s="14" cm="1">
        <f t="array" ref="H510:K510">MMULT($C509:$F509,P_Matrix)</f>
        <v>989990.05348999077</v>
      </c>
      <c r="I510" s="14">
        <v>860133.74178620323</v>
      </c>
      <c r="J510" s="14">
        <v>47992.828498114555</v>
      </c>
      <c r="K510" s="14">
        <v>139179.21027408831</v>
      </c>
      <c r="M510" s="12">
        <f>MAX((Inputs!F$25*POWER(1+(Inputs!$C$3-(Inputs!$C$3*(('Steady State'!$A510-1)/Inputs!$C$4))),'Steady State'!$A510-1)),M509)</f>
        <v>48712.842776949758</v>
      </c>
      <c r="N510" s="12">
        <f>MAX((Inputs!G$25*POWER(1+(Inputs!$C$3-(Inputs!$C$3*(('Steady State'!$A510-1)/Inputs!$C$4))),'Steady State'!$A510-1)),N509)</f>
        <v>20876.932618692754</v>
      </c>
      <c r="O510" s="12">
        <v>0</v>
      </c>
      <c r="P510" s="12">
        <v>0</v>
      </c>
    </row>
    <row r="511" spans="1:16" x14ac:dyDescent="0.35">
      <c r="A511">
        <v>509</v>
      </c>
      <c r="C511" s="14">
        <f t="shared" si="29"/>
        <v>1038702.9548617343</v>
      </c>
      <c r="D511" s="14">
        <f t="shared" si="30"/>
        <v>881010.77265358844</v>
      </c>
      <c r="E511" s="14">
        <f t="shared" si="31"/>
        <v>47992.832805587095</v>
      </c>
      <c r="F511" s="14">
        <f t="shared" si="28"/>
        <v>69589.614244683733</v>
      </c>
      <c r="H511" s="14" cm="1">
        <f t="array" ref="H511:K511">MMULT($C510:$F510,P_Matrix)</f>
        <v>989990.11208478455</v>
      </c>
      <c r="I511" s="14">
        <v>860133.84003489569</v>
      </c>
      <c r="J511" s="14">
        <v>47992.832805587095</v>
      </c>
      <c r="K511" s="14">
        <v>139179.22249200658</v>
      </c>
      <c r="M511" s="12">
        <f>MAX((Inputs!F$25*POWER(1+(Inputs!$C$3-(Inputs!$C$3*(('Steady State'!$A511-1)/Inputs!$C$4))),'Steady State'!$A511-1)),M510)</f>
        <v>48712.842776949758</v>
      </c>
      <c r="N511" s="12">
        <f>MAX((Inputs!G$25*POWER(1+(Inputs!$C$3-(Inputs!$C$3*(('Steady State'!$A511-1)/Inputs!$C$4))),'Steady State'!$A511-1)),N510)</f>
        <v>20876.932618692754</v>
      </c>
      <c r="O511" s="12">
        <v>0</v>
      </c>
      <c r="P511" s="12">
        <v>0</v>
      </c>
    </row>
    <row r="512" spans="1:16" x14ac:dyDescent="0.35">
      <c r="A512">
        <v>510</v>
      </c>
      <c r="C512" s="14">
        <f t="shared" si="29"/>
        <v>1038703.0113540746</v>
      </c>
      <c r="D512" s="14">
        <f t="shared" si="30"/>
        <v>881010.86737711576</v>
      </c>
      <c r="E512" s="14">
        <f t="shared" si="31"/>
        <v>47992.83695850549</v>
      </c>
      <c r="F512" s="14">
        <f t="shared" si="28"/>
        <v>69589.620026856457</v>
      </c>
      <c r="H512" s="14" cm="1">
        <f t="array" ref="H512:K512">MMULT($C511:$F511,P_Matrix)</f>
        <v>989990.16857712483</v>
      </c>
      <c r="I512" s="14">
        <v>860133.93475842301</v>
      </c>
      <c r="J512" s="14">
        <v>47992.83695850549</v>
      </c>
      <c r="K512" s="14">
        <v>139179.23427154019</v>
      </c>
      <c r="M512" s="12">
        <f>MAX((Inputs!F$25*POWER(1+(Inputs!$C$3-(Inputs!$C$3*(('Steady State'!$A512-1)/Inputs!$C$4))),'Steady State'!$A512-1)),M511)</f>
        <v>48712.842776949758</v>
      </c>
      <c r="N512" s="12">
        <f>MAX((Inputs!G$25*POWER(1+(Inputs!$C$3-(Inputs!$C$3*(('Steady State'!$A512-1)/Inputs!$C$4))),'Steady State'!$A512-1)),N511)</f>
        <v>20876.932618692754</v>
      </c>
      <c r="O512" s="12">
        <v>0</v>
      </c>
      <c r="P512" s="12">
        <v>0</v>
      </c>
    </row>
    <row r="513" spans="1:16" x14ac:dyDescent="0.35">
      <c r="A513">
        <v>511</v>
      </c>
      <c r="C513" s="14">
        <f t="shared" si="29"/>
        <v>1038703.0658194014</v>
      </c>
      <c r="D513" s="14">
        <f t="shared" si="30"/>
        <v>881010.95870195946</v>
      </c>
      <c r="E513" s="14">
        <f t="shared" si="31"/>
        <v>47992.840962415197</v>
      </c>
      <c r="F513" s="14">
        <f t="shared" si="28"/>
        <v>69589.62560156206</v>
      </c>
      <c r="H513" s="14" cm="1">
        <f t="array" ref="H513:K513">MMULT($C512:$F512,P_Matrix)</f>
        <v>989990.22304245166</v>
      </c>
      <c r="I513" s="14">
        <v>860134.02608326671</v>
      </c>
      <c r="J513" s="14">
        <v>47992.840962415197</v>
      </c>
      <c r="K513" s="14">
        <v>139179.24562841852</v>
      </c>
      <c r="M513" s="12">
        <f>MAX((Inputs!F$25*POWER(1+(Inputs!$C$3-(Inputs!$C$3*(('Steady State'!$A513-1)/Inputs!$C$4))),'Steady State'!$A513-1)),M512)</f>
        <v>48712.842776949758</v>
      </c>
      <c r="N513" s="12">
        <f>MAX((Inputs!G$25*POWER(1+(Inputs!$C$3-(Inputs!$C$3*(('Steady State'!$A513-1)/Inputs!$C$4))),'Steady State'!$A513-1)),N512)</f>
        <v>20876.932618692754</v>
      </c>
      <c r="O513" s="12">
        <v>0</v>
      </c>
      <c r="P513" s="12">
        <v>0</v>
      </c>
    </row>
    <row r="514" spans="1:16" x14ac:dyDescent="0.35">
      <c r="A514">
        <v>512</v>
      </c>
      <c r="C514" s="14">
        <f t="shared" si="29"/>
        <v>1038703.1183304481</v>
      </c>
      <c r="D514" s="14">
        <f t="shared" si="30"/>
        <v>881011.04675006296</v>
      </c>
      <c r="E514" s="14">
        <f t="shared" si="31"/>
        <v>47992.844822662722</v>
      </c>
      <c r="F514" s="14">
        <f t="shared" si="28"/>
        <v>69589.630976244633</v>
      </c>
      <c r="H514" s="14" cm="1">
        <f t="array" ref="H514:K514">MMULT($C513:$F513,P_Matrix)</f>
        <v>989990.2755534983</v>
      </c>
      <c r="I514" s="14">
        <v>860134.11413137021</v>
      </c>
      <c r="J514" s="14">
        <v>47992.844822662722</v>
      </c>
      <c r="K514" s="14">
        <v>139179.25657780669</v>
      </c>
      <c r="M514" s="12">
        <f>MAX((Inputs!F$25*POWER(1+(Inputs!$C$3-(Inputs!$C$3*(('Steady State'!$A514-1)/Inputs!$C$4))),'Steady State'!$A514-1)),M513)</f>
        <v>48712.842776949758</v>
      </c>
      <c r="N514" s="12">
        <f>MAX((Inputs!G$25*POWER(1+(Inputs!$C$3-(Inputs!$C$3*(('Steady State'!$A514-1)/Inputs!$C$4))),'Steady State'!$A514-1)),N513)</f>
        <v>20876.932618692754</v>
      </c>
      <c r="O514" s="12">
        <v>0</v>
      </c>
      <c r="P514" s="12">
        <v>0</v>
      </c>
    </row>
    <row r="515" spans="1:16" x14ac:dyDescent="0.35">
      <c r="A515">
        <v>513</v>
      </c>
      <c r="C515" s="14">
        <f t="shared" si="29"/>
        <v>1038703.1689573377</v>
      </c>
      <c r="D515" s="14">
        <f t="shared" si="30"/>
        <v>881011.13163899467</v>
      </c>
      <c r="E515" s="14">
        <f t="shared" si="31"/>
        <v>47992.848544402746</v>
      </c>
      <c r="F515" s="14">
        <f t="shared" ref="F515:F578" si="32">(K515+P515)-F514</f>
        <v>69589.636158081004</v>
      </c>
      <c r="H515" s="14" cm="1">
        <f t="array" ref="H515:K515">MMULT($C514:$F514,P_Matrix)</f>
        <v>989990.32618038799</v>
      </c>
      <c r="I515" s="14">
        <v>860134.19902030192</v>
      </c>
      <c r="J515" s="14">
        <v>47992.848544402746</v>
      </c>
      <c r="K515" s="14">
        <v>139179.26713432564</v>
      </c>
      <c r="M515" s="12">
        <f>MAX((Inputs!F$25*POWER(1+(Inputs!$C$3-(Inputs!$C$3*(('Steady State'!$A515-1)/Inputs!$C$4))),'Steady State'!$A515-1)),M514)</f>
        <v>48712.842776949758</v>
      </c>
      <c r="N515" s="12">
        <f>MAX((Inputs!G$25*POWER(1+(Inputs!$C$3-(Inputs!$C$3*(('Steady State'!$A515-1)/Inputs!$C$4))),'Steady State'!$A515-1)),N514)</f>
        <v>20876.932618692754</v>
      </c>
      <c r="O515" s="12">
        <v>0</v>
      </c>
      <c r="P515" s="12">
        <v>0</v>
      </c>
    </row>
    <row r="516" spans="1:16" x14ac:dyDescent="0.35">
      <c r="A516">
        <v>514</v>
      </c>
      <c r="C516" s="14">
        <f t="shared" ref="C516:C579" si="33">H516+M516</f>
        <v>1038703.2177676774</v>
      </c>
      <c r="D516" s="14">
        <f t="shared" ref="D516:D579" si="34">I516+N516</f>
        <v>881011.21348210447</v>
      </c>
      <c r="E516" s="14">
        <f t="shared" ref="E516:E579" si="35">J516+O516</f>
        <v>47992.852132604967</v>
      </c>
      <c r="F516" s="14">
        <f t="shared" si="32"/>
        <v>69589.64115399064</v>
      </c>
      <c r="H516" s="14" cm="1">
        <f t="array" ref="H516:K516">MMULT($C515:$F515,P_Matrix)</f>
        <v>989990.37499072764</v>
      </c>
      <c r="I516" s="14">
        <v>860134.28086341172</v>
      </c>
      <c r="J516" s="14">
        <v>47992.852132604967</v>
      </c>
      <c r="K516" s="14">
        <v>139179.27731207164</v>
      </c>
      <c r="M516" s="12">
        <f>MAX((Inputs!F$25*POWER(1+(Inputs!$C$3-(Inputs!$C$3*(('Steady State'!$A516-1)/Inputs!$C$4))),'Steady State'!$A516-1)),M515)</f>
        <v>48712.842776949758</v>
      </c>
      <c r="N516" s="12">
        <f>MAX((Inputs!G$25*POWER(1+(Inputs!$C$3-(Inputs!$C$3*(('Steady State'!$A516-1)/Inputs!$C$4))),'Steady State'!$A516-1)),N515)</f>
        <v>20876.932618692754</v>
      </c>
      <c r="O516" s="12">
        <v>0</v>
      </c>
      <c r="P516" s="12">
        <v>0</v>
      </c>
    </row>
    <row r="517" spans="1:16" x14ac:dyDescent="0.35">
      <c r="A517">
        <v>515</v>
      </c>
      <c r="C517" s="14">
        <f t="shared" si="33"/>
        <v>1038703.2648266479</v>
      </c>
      <c r="D517" s="14">
        <f t="shared" si="34"/>
        <v>881011.29238867573</v>
      </c>
      <c r="E517" s="14">
        <f t="shared" si="35"/>
        <v>47992.855592060798</v>
      </c>
      <c r="F517" s="14">
        <f t="shared" si="32"/>
        <v>69589.645970644691</v>
      </c>
      <c r="H517" s="14" cm="1">
        <f t="array" ref="H517:K517">MMULT($C516:$F516,P_Matrix)</f>
        <v>989990.42204969819</v>
      </c>
      <c r="I517" s="14">
        <v>860134.35976998298</v>
      </c>
      <c r="J517" s="14">
        <v>47992.855592060798</v>
      </c>
      <c r="K517" s="14">
        <v>139179.28712463533</v>
      </c>
      <c r="M517" s="12">
        <f>MAX((Inputs!F$25*POWER(1+(Inputs!$C$3-(Inputs!$C$3*(('Steady State'!$A517-1)/Inputs!$C$4))),'Steady State'!$A517-1)),M516)</f>
        <v>48712.842776949758</v>
      </c>
      <c r="N517" s="12">
        <f>MAX((Inputs!G$25*POWER(1+(Inputs!$C$3-(Inputs!$C$3*(('Steady State'!$A517-1)/Inputs!$C$4))),'Steady State'!$A517-1)),N516)</f>
        <v>20876.932618692754</v>
      </c>
      <c r="O517" s="12">
        <v>0</v>
      </c>
      <c r="P517" s="12">
        <v>0</v>
      </c>
    </row>
    <row r="518" spans="1:16" x14ac:dyDescent="0.35">
      <c r="A518">
        <v>516</v>
      </c>
      <c r="C518" s="14">
        <f t="shared" si="33"/>
        <v>1038703.3101970915</v>
      </c>
      <c r="D518" s="14">
        <f t="shared" si="34"/>
        <v>881011.36846407061</v>
      </c>
      <c r="E518" s="14">
        <f t="shared" si="35"/>
        <v>47992.858927389723</v>
      </c>
      <c r="F518" s="14">
        <f t="shared" si="32"/>
        <v>69589.6506144749</v>
      </c>
      <c r="H518" s="14" cm="1">
        <f t="array" ref="H518:K518">MMULT($C517:$F517,P_Matrix)</f>
        <v>989990.46742014179</v>
      </c>
      <c r="I518" s="14">
        <v>860134.43584537786</v>
      </c>
      <c r="J518" s="14">
        <v>47992.858927389723</v>
      </c>
      <c r="K518" s="14">
        <v>139179.29658511959</v>
      </c>
      <c r="M518" s="12">
        <f>MAX((Inputs!F$25*POWER(1+(Inputs!$C$3-(Inputs!$C$3*(('Steady State'!$A518-1)/Inputs!$C$4))),'Steady State'!$A518-1)),M517)</f>
        <v>48712.842776949758</v>
      </c>
      <c r="N518" s="12">
        <f>MAX((Inputs!G$25*POWER(1+(Inputs!$C$3-(Inputs!$C$3*(('Steady State'!$A518-1)/Inputs!$C$4))),'Steady State'!$A518-1)),N517)</f>
        <v>20876.932618692754</v>
      </c>
      <c r="O518" s="12">
        <v>0</v>
      </c>
      <c r="P518" s="12">
        <v>0</v>
      </c>
    </row>
    <row r="519" spans="1:16" x14ac:dyDescent="0.35">
      <c r="A519">
        <v>517</v>
      </c>
      <c r="C519" s="14">
        <f t="shared" si="33"/>
        <v>1038703.3539395954</v>
      </c>
      <c r="D519" s="14">
        <f t="shared" si="34"/>
        <v>881011.44180987112</v>
      </c>
      <c r="E519" s="14">
        <f t="shared" si="35"/>
        <v>47992.862143045451</v>
      </c>
      <c r="F519" s="14">
        <f t="shared" si="32"/>
        <v>69589.655091682303</v>
      </c>
      <c r="H519" s="14" cm="1">
        <f t="array" ref="H519:K519">MMULT($C518:$F518,P_Matrix)</f>
        <v>989990.51116264565</v>
      </c>
      <c r="I519" s="14">
        <v>860134.50919117837</v>
      </c>
      <c r="J519" s="14">
        <v>47992.862143045451</v>
      </c>
      <c r="K519" s="14">
        <v>139179.3057061572</v>
      </c>
      <c r="M519" s="12">
        <f>MAX((Inputs!F$25*POWER(1+(Inputs!$C$3-(Inputs!$C$3*(('Steady State'!$A519-1)/Inputs!$C$4))),'Steady State'!$A519-1)),M518)</f>
        <v>48712.842776949758</v>
      </c>
      <c r="N519" s="12">
        <f>MAX((Inputs!G$25*POWER(1+(Inputs!$C$3-(Inputs!$C$3*(('Steady State'!$A519-1)/Inputs!$C$4))),'Steady State'!$A519-1)),N518)</f>
        <v>20876.932618692754</v>
      </c>
      <c r="O519" s="12">
        <v>0</v>
      </c>
      <c r="P519" s="12">
        <v>0</v>
      </c>
    </row>
    <row r="520" spans="1:16" x14ac:dyDescent="0.35">
      <c r="A520">
        <v>518</v>
      </c>
      <c r="C520" s="14">
        <f t="shared" si="33"/>
        <v>1038703.3961125726</v>
      </c>
      <c r="D520" s="14">
        <f t="shared" si="34"/>
        <v>881011.51252401446</v>
      </c>
      <c r="E520" s="14">
        <f t="shared" si="35"/>
        <v>47992.865243321939</v>
      </c>
      <c r="F520" s="14">
        <f t="shared" si="32"/>
        <v>69589.659408245352</v>
      </c>
      <c r="H520" s="14" cm="1">
        <f t="array" ref="H520:K520">MMULT($C519:$F519,P_Matrix)</f>
        <v>989990.55333562288</v>
      </c>
      <c r="I520" s="14">
        <v>860134.57990532171</v>
      </c>
      <c r="J520" s="14">
        <v>47992.865243321939</v>
      </c>
      <c r="K520" s="14">
        <v>139179.31449992766</v>
      </c>
      <c r="M520" s="12">
        <f>MAX((Inputs!F$25*POWER(1+(Inputs!$C$3-(Inputs!$C$3*(('Steady State'!$A520-1)/Inputs!$C$4))),'Steady State'!$A520-1)),M519)</f>
        <v>48712.842776949758</v>
      </c>
      <c r="N520" s="12">
        <f>MAX((Inputs!G$25*POWER(1+(Inputs!$C$3-(Inputs!$C$3*(('Steady State'!$A520-1)/Inputs!$C$4))),'Steady State'!$A520-1)),N519)</f>
        <v>20876.932618692754</v>
      </c>
      <c r="O520" s="12">
        <v>0</v>
      </c>
      <c r="P520" s="12">
        <v>0</v>
      </c>
    </row>
    <row r="521" spans="1:16" x14ac:dyDescent="0.35">
      <c r="A521">
        <v>519</v>
      </c>
      <c r="C521" s="14">
        <f t="shared" si="33"/>
        <v>1038703.4367723404</v>
      </c>
      <c r="D521" s="14">
        <f t="shared" si="34"/>
        <v>881011.58070092392</v>
      </c>
      <c r="E521" s="14">
        <f t="shared" si="35"/>
        <v>47992.868232359033</v>
      </c>
      <c r="F521" s="14">
        <f t="shared" si="32"/>
        <v>69589.663569928089</v>
      </c>
      <c r="H521" s="14" cm="1">
        <f t="array" ref="H521:K521">MMULT($C520:$F520,P_Matrix)</f>
        <v>989990.59399539069</v>
      </c>
      <c r="I521" s="14">
        <v>860134.64808223117</v>
      </c>
      <c r="J521" s="14">
        <v>47992.868232359033</v>
      </c>
      <c r="K521" s="14">
        <v>139179.32297817344</v>
      </c>
      <c r="M521" s="12">
        <f>MAX((Inputs!F$25*POWER(1+(Inputs!$C$3-(Inputs!$C$3*(('Steady State'!$A521-1)/Inputs!$C$4))),'Steady State'!$A521-1)),M520)</f>
        <v>48712.842776949758</v>
      </c>
      <c r="N521" s="12">
        <f>MAX((Inputs!G$25*POWER(1+(Inputs!$C$3-(Inputs!$C$3*(('Steady State'!$A521-1)/Inputs!$C$4))),'Steady State'!$A521-1)),N520)</f>
        <v>20876.932618692754</v>
      </c>
      <c r="O521" s="12">
        <v>0</v>
      </c>
      <c r="P521" s="12">
        <v>0</v>
      </c>
    </row>
    <row r="522" spans="1:16" x14ac:dyDescent="0.35">
      <c r="A522">
        <v>520</v>
      </c>
      <c r="C522" s="14">
        <f t="shared" si="33"/>
        <v>1038703.4759731949</v>
      </c>
      <c r="D522" s="14">
        <f t="shared" si="34"/>
        <v>881011.64643163513</v>
      </c>
      <c r="E522" s="14">
        <f t="shared" si="35"/>
        <v>47992.87111414806</v>
      </c>
      <c r="F522" s="14">
        <f t="shared" si="32"/>
        <v>69589.667582287686</v>
      </c>
      <c r="H522" s="14" cm="1">
        <f t="array" ref="H522:K522">MMULT($C521:$F521,P_Matrix)</f>
        <v>989990.63319624518</v>
      </c>
      <c r="I522" s="14">
        <v>860134.71381294238</v>
      </c>
      <c r="J522" s="14">
        <v>47992.87111414806</v>
      </c>
      <c r="K522" s="14">
        <v>139179.33115221577</v>
      </c>
      <c r="M522" s="12">
        <f>MAX((Inputs!F$25*POWER(1+(Inputs!$C$3-(Inputs!$C$3*(('Steady State'!$A522-1)/Inputs!$C$4))),'Steady State'!$A522-1)),M521)</f>
        <v>48712.842776949758</v>
      </c>
      <c r="N522" s="12">
        <f>MAX((Inputs!G$25*POWER(1+(Inputs!$C$3-(Inputs!$C$3*(('Steady State'!$A522-1)/Inputs!$C$4))),'Steady State'!$A522-1)),N521)</f>
        <v>20876.932618692754</v>
      </c>
      <c r="O522" s="12">
        <v>0</v>
      </c>
      <c r="P522" s="12">
        <v>0</v>
      </c>
    </row>
    <row r="523" spans="1:16" x14ac:dyDescent="0.35">
      <c r="A523">
        <v>521</v>
      </c>
      <c r="C523" s="14">
        <f t="shared" si="33"/>
        <v>1038703.5137674841</v>
      </c>
      <c r="D523" s="14">
        <f t="shared" si="34"/>
        <v>881011.70980391745</v>
      </c>
      <c r="E523" s="14">
        <f t="shared" si="35"/>
        <v>47992.873892537129</v>
      </c>
      <c r="F523" s="14">
        <f t="shared" si="32"/>
        <v>69589.671450681926</v>
      </c>
      <c r="H523" s="14" cm="1">
        <f t="array" ref="H523:K523">MMULT($C522:$F522,P_Matrix)</f>
        <v>989990.67099053436</v>
      </c>
      <c r="I523" s="14">
        <v>860134.7771852247</v>
      </c>
      <c r="J523" s="14">
        <v>47992.873892537129</v>
      </c>
      <c r="K523" s="14">
        <v>139179.33903296961</v>
      </c>
      <c r="M523" s="12">
        <f>MAX((Inputs!F$25*POWER(1+(Inputs!$C$3-(Inputs!$C$3*(('Steady State'!$A523-1)/Inputs!$C$4))),'Steady State'!$A523-1)),M522)</f>
        <v>48712.842776949758</v>
      </c>
      <c r="N523" s="12">
        <f>MAX((Inputs!G$25*POWER(1+(Inputs!$C$3-(Inputs!$C$3*(('Steady State'!$A523-1)/Inputs!$C$4))),'Steady State'!$A523-1)),N522)</f>
        <v>20876.932618692754</v>
      </c>
      <c r="O523" s="12">
        <v>0</v>
      </c>
      <c r="P523" s="12">
        <v>0</v>
      </c>
    </row>
    <row r="524" spans="1:16" x14ac:dyDescent="0.35">
      <c r="A524">
        <v>522</v>
      </c>
      <c r="C524" s="14">
        <f t="shared" si="33"/>
        <v>1038703.5502056776</v>
      </c>
      <c r="D524" s="14">
        <f t="shared" si="34"/>
        <v>881011.77090239082</v>
      </c>
      <c r="E524" s="14">
        <f t="shared" si="35"/>
        <v>47992.876571236295</v>
      </c>
      <c r="F524" s="14">
        <f t="shared" si="32"/>
        <v>69589.675180276332</v>
      </c>
      <c r="H524" s="14" cm="1">
        <f t="array" ref="H524:K524">MMULT($C523:$F523,P_Matrix)</f>
        <v>989990.70742872788</v>
      </c>
      <c r="I524" s="14">
        <v>860134.83828369807</v>
      </c>
      <c r="J524" s="14">
        <v>47992.876571236295</v>
      </c>
      <c r="K524" s="14">
        <v>139179.34663095826</v>
      </c>
      <c r="M524" s="12">
        <f>MAX((Inputs!F$25*POWER(1+(Inputs!$C$3-(Inputs!$C$3*(('Steady State'!$A524-1)/Inputs!$C$4))),'Steady State'!$A524-1)),M523)</f>
        <v>48712.842776949758</v>
      </c>
      <c r="N524" s="12">
        <f>MAX((Inputs!G$25*POWER(1+(Inputs!$C$3-(Inputs!$C$3*(('Steady State'!$A524-1)/Inputs!$C$4))),'Steady State'!$A524-1)),N523)</f>
        <v>20876.932618692754</v>
      </c>
      <c r="O524" s="12">
        <v>0</v>
      </c>
      <c r="P524" s="12">
        <v>0</v>
      </c>
    </row>
    <row r="525" spans="1:16" x14ac:dyDescent="0.35">
      <c r="A525">
        <v>523</v>
      </c>
      <c r="C525" s="14">
        <f t="shared" si="33"/>
        <v>1038703.5853364342</v>
      </c>
      <c r="D525" s="14">
        <f t="shared" si="34"/>
        <v>881011.82980863925</v>
      </c>
      <c r="E525" s="14">
        <f t="shared" si="35"/>
        <v>47992.879153822461</v>
      </c>
      <c r="F525" s="14">
        <f t="shared" si="32"/>
        <v>69589.678776051122</v>
      </c>
      <c r="H525" s="14" cm="1">
        <f t="array" ref="H525:K525">MMULT($C524:$F524,P_Matrix)</f>
        <v>989990.74255948444</v>
      </c>
      <c r="I525" s="14">
        <v>860134.8971899465</v>
      </c>
      <c r="J525" s="14">
        <v>47992.879153822461</v>
      </c>
      <c r="K525" s="14">
        <v>139179.35395632745</v>
      </c>
      <c r="M525" s="12">
        <f>MAX((Inputs!F$25*POWER(1+(Inputs!$C$3-(Inputs!$C$3*(('Steady State'!$A525-1)/Inputs!$C$4))),'Steady State'!$A525-1)),M524)</f>
        <v>48712.842776949758</v>
      </c>
      <c r="N525" s="12">
        <f>MAX((Inputs!G$25*POWER(1+(Inputs!$C$3-(Inputs!$C$3*(('Steady State'!$A525-1)/Inputs!$C$4))),'Steady State'!$A525-1)),N524)</f>
        <v>20876.932618692754</v>
      </c>
      <c r="O525" s="12">
        <v>0</v>
      </c>
      <c r="P525" s="12">
        <v>0</v>
      </c>
    </row>
    <row r="526" spans="1:16" x14ac:dyDescent="0.35">
      <c r="A526">
        <v>524</v>
      </c>
      <c r="C526" s="14">
        <f t="shared" si="33"/>
        <v>1038703.6192066665</v>
      </c>
      <c r="D526" s="14">
        <f t="shared" si="34"/>
        <v>881011.88660131977</v>
      </c>
      <c r="E526" s="14">
        <f t="shared" si="35"/>
        <v>47992.881643744215</v>
      </c>
      <c r="F526" s="14">
        <f t="shared" si="32"/>
        <v>69589.682242807816</v>
      </c>
      <c r="H526" s="14" cm="1">
        <f t="array" ref="H526:K526">MMULT($C525:$F525,P_Matrix)</f>
        <v>989990.77642971673</v>
      </c>
      <c r="I526" s="14">
        <v>860134.95398262702</v>
      </c>
      <c r="J526" s="14">
        <v>47992.881643744215</v>
      </c>
      <c r="K526" s="14">
        <v>139179.36101885894</v>
      </c>
      <c r="M526" s="12">
        <f>MAX((Inputs!F$25*POWER(1+(Inputs!$C$3-(Inputs!$C$3*(('Steady State'!$A526-1)/Inputs!$C$4))),'Steady State'!$A526-1)),M525)</f>
        <v>48712.842776949758</v>
      </c>
      <c r="N526" s="12">
        <f>MAX((Inputs!G$25*POWER(1+(Inputs!$C$3-(Inputs!$C$3*(('Steady State'!$A526-1)/Inputs!$C$4))),'Steady State'!$A526-1)),N525)</f>
        <v>20876.932618692754</v>
      </c>
      <c r="O526" s="12">
        <v>0</v>
      </c>
      <c r="P526" s="12">
        <v>0</v>
      </c>
    </row>
    <row r="527" spans="1:16" x14ac:dyDescent="0.35">
      <c r="A527">
        <v>525</v>
      </c>
      <c r="C527" s="14">
        <f t="shared" si="33"/>
        <v>1038703.6518616038</v>
      </c>
      <c r="D527" s="14">
        <f t="shared" si="34"/>
        <v>881011.94135626708</v>
      </c>
      <c r="E527" s="14">
        <f t="shared" si="35"/>
        <v>47992.884044326391</v>
      </c>
      <c r="F527" s="14">
        <f t="shared" si="32"/>
        <v>69589.685585175641</v>
      </c>
      <c r="H527" s="14" cm="1">
        <f t="array" ref="H527:K527">MMULT($C526:$F526,P_Matrix)</f>
        <v>989990.80908465409</v>
      </c>
      <c r="I527" s="14">
        <v>860135.00873757433</v>
      </c>
      <c r="J527" s="14">
        <v>47992.884044326391</v>
      </c>
      <c r="K527" s="14">
        <v>139179.36782798346</v>
      </c>
      <c r="M527" s="12">
        <f>MAX((Inputs!F$25*POWER(1+(Inputs!$C$3-(Inputs!$C$3*(('Steady State'!$A527-1)/Inputs!$C$4))),'Steady State'!$A527-1)),M526)</f>
        <v>48712.842776949758</v>
      </c>
      <c r="N527" s="12">
        <f>MAX((Inputs!G$25*POWER(1+(Inputs!$C$3-(Inputs!$C$3*(('Steady State'!$A527-1)/Inputs!$C$4))),'Steady State'!$A527-1)),N526)</f>
        <v>20876.932618692754</v>
      </c>
      <c r="O527" s="12">
        <v>0</v>
      </c>
      <c r="P527" s="12">
        <v>0</v>
      </c>
    </row>
    <row r="528" spans="1:16" x14ac:dyDescent="0.35">
      <c r="A528">
        <v>526</v>
      </c>
      <c r="C528" s="14">
        <f t="shared" si="33"/>
        <v>1038703.6833448526</v>
      </c>
      <c r="D528" s="14">
        <f t="shared" si="34"/>
        <v>881011.99414659478</v>
      </c>
      <c r="E528" s="14">
        <f t="shared" si="35"/>
        <v>47992.886358774544</v>
      </c>
      <c r="F528" s="14">
        <f t="shared" si="32"/>
        <v>69589.688807617727</v>
      </c>
      <c r="H528" s="14" cm="1">
        <f t="array" ref="H528:K528">MMULT($C527:$F527,P_Matrix)</f>
        <v>989990.84056790289</v>
      </c>
      <c r="I528" s="14">
        <v>860135.06152790203</v>
      </c>
      <c r="J528" s="14">
        <v>47992.886358774544</v>
      </c>
      <c r="K528" s="14">
        <v>139179.37439279337</v>
      </c>
      <c r="M528" s="12">
        <f>MAX((Inputs!F$25*POWER(1+(Inputs!$C$3-(Inputs!$C$3*(('Steady State'!$A528-1)/Inputs!$C$4))),'Steady State'!$A528-1)),M527)</f>
        <v>48712.842776949758</v>
      </c>
      <c r="N528" s="12">
        <f>MAX((Inputs!G$25*POWER(1+(Inputs!$C$3-(Inputs!$C$3*(('Steady State'!$A528-1)/Inputs!$C$4))),'Steady State'!$A528-1)),N527)</f>
        <v>20876.932618692754</v>
      </c>
      <c r="O528" s="12">
        <v>0</v>
      </c>
      <c r="P528" s="12">
        <v>0</v>
      </c>
    </row>
    <row r="529" spans="1:16" x14ac:dyDescent="0.35">
      <c r="A529">
        <v>527</v>
      </c>
      <c r="C529" s="14">
        <f t="shared" si="33"/>
        <v>1038703.7136984546</v>
      </c>
      <c r="D529" s="14">
        <f t="shared" si="34"/>
        <v>881012.0450427935</v>
      </c>
      <c r="E529" s="14">
        <f t="shared" si="35"/>
        <v>47992.888590179195</v>
      </c>
      <c r="F529" s="14">
        <f t="shared" si="32"/>
        <v>69589.691914437077</v>
      </c>
      <c r="H529" s="14" cm="1">
        <f t="array" ref="H529:K529">MMULT($C528:$F528,P_Matrix)</f>
        <v>989990.8709215048</v>
      </c>
      <c r="I529" s="14">
        <v>860135.11242410075</v>
      </c>
      <c r="J529" s="14">
        <v>47992.888590179195</v>
      </c>
      <c r="K529" s="14">
        <v>139179.3807220548</v>
      </c>
      <c r="M529" s="12">
        <f>MAX((Inputs!F$25*POWER(1+(Inputs!$C$3-(Inputs!$C$3*(('Steady State'!$A529-1)/Inputs!$C$4))),'Steady State'!$A529-1)),M528)</f>
        <v>48712.842776949758</v>
      </c>
      <c r="N529" s="12">
        <f>MAX((Inputs!G$25*POWER(1+(Inputs!$C$3-(Inputs!$C$3*(('Steady State'!$A529-1)/Inputs!$C$4))),'Steady State'!$A529-1)),N528)</f>
        <v>20876.932618692754</v>
      </c>
      <c r="O529" s="12">
        <v>0</v>
      </c>
      <c r="P529" s="12">
        <v>0</v>
      </c>
    </row>
    <row r="530" spans="1:16" x14ac:dyDescent="0.35">
      <c r="A530">
        <v>528</v>
      </c>
      <c r="C530" s="14">
        <f t="shared" si="33"/>
        <v>1038703.7429629428</v>
      </c>
      <c r="D530" s="14">
        <f t="shared" si="34"/>
        <v>881012.09411282453</v>
      </c>
      <c r="E530" s="14">
        <f t="shared" si="35"/>
        <v>47992.890741519994</v>
      </c>
      <c r="F530" s="14">
        <f t="shared" si="32"/>
        <v>69589.694909782236</v>
      </c>
      <c r="H530" s="14" cm="1">
        <f t="array" ref="H530:K530">MMULT($C529:$F529,P_Matrix)</f>
        <v>989990.90018599306</v>
      </c>
      <c r="I530" s="14">
        <v>860135.16149413178</v>
      </c>
      <c r="J530" s="14">
        <v>47992.890741519994</v>
      </c>
      <c r="K530" s="14">
        <v>139179.38682421931</v>
      </c>
      <c r="M530" s="12">
        <f>MAX((Inputs!F$25*POWER(1+(Inputs!$C$3-(Inputs!$C$3*(('Steady State'!$A530-1)/Inputs!$C$4))),'Steady State'!$A530-1)),M529)</f>
        <v>48712.842776949758</v>
      </c>
      <c r="N530" s="12">
        <f>MAX((Inputs!G$25*POWER(1+(Inputs!$C$3-(Inputs!$C$3*(('Steady State'!$A530-1)/Inputs!$C$4))),'Steady State'!$A530-1)),N529)</f>
        <v>20876.932618692754</v>
      </c>
      <c r="O530" s="12">
        <v>0</v>
      </c>
      <c r="P530" s="12">
        <v>0</v>
      </c>
    </row>
    <row r="531" spans="1:16" x14ac:dyDescent="0.35">
      <c r="A531">
        <v>529</v>
      </c>
      <c r="C531" s="14">
        <f t="shared" si="33"/>
        <v>1038703.7711773962</v>
      </c>
      <c r="D531" s="14">
        <f t="shared" si="34"/>
        <v>881012.14142221084</v>
      </c>
      <c r="E531" s="14">
        <f t="shared" si="35"/>
        <v>47992.892815669664</v>
      </c>
      <c r="F531" s="14">
        <f t="shared" si="32"/>
        <v>69589.697797653003</v>
      </c>
      <c r="H531" s="14" cm="1">
        <f t="array" ref="H531:K531">MMULT($C530:$F530,P_Matrix)</f>
        <v>989990.92840044643</v>
      </c>
      <c r="I531" s="14">
        <v>860135.20880351809</v>
      </c>
      <c r="J531" s="14">
        <v>47992.892815669664</v>
      </c>
      <c r="K531" s="14">
        <v>139179.39270743524</v>
      </c>
      <c r="M531" s="12">
        <f>MAX((Inputs!F$25*POWER(1+(Inputs!$C$3-(Inputs!$C$3*(('Steady State'!$A531-1)/Inputs!$C$4))),'Steady State'!$A531-1)),M530)</f>
        <v>48712.842776949758</v>
      </c>
      <c r="N531" s="12">
        <f>MAX((Inputs!G$25*POWER(1+(Inputs!$C$3-(Inputs!$C$3*(('Steady State'!$A531-1)/Inputs!$C$4))),'Steady State'!$A531-1)),N530)</f>
        <v>20876.932618692754</v>
      </c>
      <c r="O531" s="12">
        <v>0</v>
      </c>
      <c r="P531" s="12">
        <v>0</v>
      </c>
    </row>
    <row r="532" spans="1:16" x14ac:dyDescent="0.35">
      <c r="A532">
        <v>530</v>
      </c>
      <c r="C532" s="14">
        <f t="shared" si="33"/>
        <v>1038703.7983794911</v>
      </c>
      <c r="D532" s="14">
        <f t="shared" si="34"/>
        <v>881012.18703412428</v>
      </c>
      <c r="E532" s="14">
        <f t="shared" si="35"/>
        <v>47992.894815397871</v>
      </c>
      <c r="F532" s="14">
        <f t="shared" si="32"/>
        <v>69589.700581905636</v>
      </c>
      <c r="H532" s="14" cm="1">
        <f t="array" ref="H532:K532">MMULT($C531:$F531,P_Matrix)</f>
        <v>989990.95560254133</v>
      </c>
      <c r="I532" s="14">
        <v>860135.25441543153</v>
      </c>
      <c r="J532" s="14">
        <v>47992.894815397871</v>
      </c>
      <c r="K532" s="14">
        <v>139179.39837955864</v>
      </c>
      <c r="M532" s="12">
        <f>MAX((Inputs!F$25*POWER(1+(Inputs!$C$3-(Inputs!$C$3*(('Steady State'!$A532-1)/Inputs!$C$4))),'Steady State'!$A532-1)),M531)</f>
        <v>48712.842776949758</v>
      </c>
      <c r="N532" s="12">
        <f>MAX((Inputs!G$25*POWER(1+(Inputs!$C$3-(Inputs!$C$3*(('Steady State'!$A532-1)/Inputs!$C$4))),'Steady State'!$A532-1)),N531)</f>
        <v>20876.932618692754</v>
      </c>
      <c r="O532" s="12">
        <v>0</v>
      </c>
      <c r="P532" s="12">
        <v>0</v>
      </c>
    </row>
    <row r="533" spans="1:16" x14ac:dyDescent="0.35">
      <c r="A533">
        <v>531</v>
      </c>
      <c r="C533" s="14">
        <f t="shared" si="33"/>
        <v>1038703.8246055522</v>
      </c>
      <c r="D533" s="14">
        <f t="shared" si="34"/>
        <v>881012.23100947053</v>
      </c>
      <c r="E533" s="14">
        <f t="shared" si="35"/>
        <v>47992.896743374877</v>
      </c>
      <c r="F533" s="14">
        <f t="shared" si="32"/>
        <v>69589.703266257915</v>
      </c>
      <c r="H533" s="14" cm="1">
        <f t="array" ref="H533:K533">MMULT($C532:$F532,P_Matrix)</f>
        <v>989990.9818286025</v>
      </c>
      <c r="I533" s="14">
        <v>860135.29839077778</v>
      </c>
      <c r="J533" s="14">
        <v>47992.896743374877</v>
      </c>
      <c r="K533" s="14">
        <v>139179.40384816355</v>
      </c>
      <c r="M533" s="12">
        <f>MAX((Inputs!F$25*POWER(1+(Inputs!$C$3-(Inputs!$C$3*(('Steady State'!$A533-1)/Inputs!$C$4))),'Steady State'!$A533-1)),M532)</f>
        <v>48712.842776949758</v>
      </c>
      <c r="N533" s="12">
        <f>MAX((Inputs!G$25*POWER(1+(Inputs!$C$3-(Inputs!$C$3*(('Steady State'!$A533-1)/Inputs!$C$4))),'Steady State'!$A533-1)),N532)</f>
        <v>20876.932618692754</v>
      </c>
      <c r="O533" s="12">
        <v>0</v>
      </c>
      <c r="P533" s="12">
        <v>0</v>
      </c>
    </row>
    <row r="534" spans="1:16" x14ac:dyDescent="0.35">
      <c r="A534">
        <v>532</v>
      </c>
      <c r="C534" s="14">
        <f t="shared" si="33"/>
        <v>1038703.8498906009</v>
      </c>
      <c r="D534" s="14">
        <f t="shared" si="34"/>
        <v>881012.2734069695</v>
      </c>
      <c r="E534" s="14">
        <f t="shared" si="35"/>
        <v>47992.898602175155</v>
      </c>
      <c r="F534" s="14">
        <f t="shared" si="32"/>
        <v>69589.705854294385</v>
      </c>
      <c r="H534" s="14" cm="1">
        <f t="array" ref="H534:K534">MMULT($C533:$F533,P_Matrix)</f>
        <v>989991.00711365114</v>
      </c>
      <c r="I534" s="14">
        <v>860135.34078827675</v>
      </c>
      <c r="J534" s="14">
        <v>47992.898602175155</v>
      </c>
      <c r="K534" s="14">
        <v>139179.4091205523</v>
      </c>
      <c r="M534" s="12">
        <f>MAX((Inputs!F$25*POWER(1+(Inputs!$C$3-(Inputs!$C$3*(('Steady State'!$A534-1)/Inputs!$C$4))),'Steady State'!$A534-1)),M533)</f>
        <v>48712.842776949758</v>
      </c>
      <c r="N534" s="12">
        <f>MAX((Inputs!G$25*POWER(1+(Inputs!$C$3-(Inputs!$C$3*(('Steady State'!$A534-1)/Inputs!$C$4))),'Steady State'!$A534-1)),N533)</f>
        <v>20876.932618692754</v>
      </c>
      <c r="O534" s="12">
        <v>0</v>
      </c>
      <c r="P534" s="12">
        <v>0</v>
      </c>
    </row>
    <row r="535" spans="1:16" x14ac:dyDescent="0.35">
      <c r="A535">
        <v>533</v>
      </c>
      <c r="C535" s="14">
        <f t="shared" si="33"/>
        <v>1038703.8742684018</v>
      </c>
      <c r="D535" s="14">
        <f t="shared" si="34"/>
        <v>881012.31428323453</v>
      </c>
      <c r="E535" s="14">
        <f t="shared" si="35"/>
        <v>47992.900394280798</v>
      </c>
      <c r="F535" s="14">
        <f t="shared" si="32"/>
        <v>69589.708349470893</v>
      </c>
      <c r="H535" s="14" cm="1">
        <f t="array" ref="H535:K535">MMULT($C534:$F534,P_Matrix)</f>
        <v>989991.03149145201</v>
      </c>
      <c r="I535" s="14">
        <v>860135.38166454178</v>
      </c>
      <c r="J535" s="14">
        <v>47992.900394280798</v>
      </c>
      <c r="K535" s="14">
        <v>139179.41420376528</v>
      </c>
      <c r="M535" s="12">
        <f>MAX((Inputs!F$25*POWER(1+(Inputs!$C$3-(Inputs!$C$3*(('Steady State'!$A535-1)/Inputs!$C$4))),'Steady State'!$A535-1)),M534)</f>
        <v>48712.842776949758</v>
      </c>
      <c r="N535" s="12">
        <f>MAX((Inputs!G$25*POWER(1+(Inputs!$C$3-(Inputs!$C$3*(('Steady State'!$A535-1)/Inputs!$C$4))),'Steady State'!$A535-1)),N534)</f>
        <v>20876.932618692754</v>
      </c>
      <c r="O535" s="12">
        <v>0</v>
      </c>
      <c r="P535" s="12">
        <v>0</v>
      </c>
    </row>
    <row r="536" spans="1:16" x14ac:dyDescent="0.35">
      <c r="A536">
        <v>534</v>
      </c>
      <c r="C536" s="14">
        <f t="shared" si="33"/>
        <v>1038703.8977715077</v>
      </c>
      <c r="D536" s="14">
        <f t="shared" si="34"/>
        <v>881012.35369284754</v>
      </c>
      <c r="E536" s="14">
        <f t="shared" si="35"/>
        <v>47992.902122084837</v>
      </c>
      <c r="F536" s="14">
        <f t="shared" si="32"/>
        <v>69589.710755119304</v>
      </c>
      <c r="H536" s="14" cm="1">
        <f t="array" ref="H536:K536">MMULT($C535:$F535,P_Matrix)</f>
        <v>989991.05499455798</v>
      </c>
      <c r="I536" s="14">
        <v>860135.42107415479</v>
      </c>
      <c r="J536" s="14">
        <v>47992.902122084837</v>
      </c>
      <c r="K536" s="14">
        <v>139179.4191045902</v>
      </c>
      <c r="M536" s="12">
        <f>MAX((Inputs!F$25*POWER(1+(Inputs!$C$3-(Inputs!$C$3*(('Steady State'!$A536-1)/Inputs!$C$4))),'Steady State'!$A536-1)),M535)</f>
        <v>48712.842776949758</v>
      </c>
      <c r="N536" s="12">
        <f>MAX((Inputs!G$25*POWER(1+(Inputs!$C$3-(Inputs!$C$3*(('Steady State'!$A536-1)/Inputs!$C$4))),'Steady State'!$A536-1)),N535)</f>
        <v>20876.932618692754</v>
      </c>
      <c r="O536" s="12">
        <v>0</v>
      </c>
      <c r="P536" s="12">
        <v>0</v>
      </c>
    </row>
    <row r="537" spans="1:16" x14ac:dyDescent="0.35">
      <c r="A537">
        <v>535</v>
      </c>
      <c r="C537" s="14">
        <f t="shared" si="33"/>
        <v>1038703.9204313039</v>
      </c>
      <c r="D537" s="14">
        <f t="shared" si="34"/>
        <v>881012.3916884322</v>
      </c>
      <c r="E537" s="14">
        <f t="shared" si="35"/>
        <v>47992.903787894451</v>
      </c>
      <c r="F537" s="14">
        <f t="shared" si="32"/>
        <v>69589.713074451865</v>
      </c>
      <c r="H537" s="14" cm="1">
        <f t="array" ref="H537:K537">MMULT($C536:$F536,P_Matrix)</f>
        <v>989991.07765435416</v>
      </c>
      <c r="I537" s="14">
        <v>860135.45906973945</v>
      </c>
      <c r="J537" s="14">
        <v>47992.903787894451</v>
      </c>
      <c r="K537" s="14">
        <v>139179.42382957117</v>
      </c>
      <c r="M537" s="12">
        <f>MAX((Inputs!F$25*POWER(1+(Inputs!$C$3-(Inputs!$C$3*(('Steady State'!$A537-1)/Inputs!$C$4))),'Steady State'!$A537-1)),M536)</f>
        <v>48712.842776949758</v>
      </c>
      <c r="N537" s="12">
        <f>MAX((Inputs!G$25*POWER(1+(Inputs!$C$3-(Inputs!$C$3*(('Steady State'!$A537-1)/Inputs!$C$4))),'Steady State'!$A537-1)),N536)</f>
        <v>20876.932618692754</v>
      </c>
      <c r="O537" s="12">
        <v>0</v>
      </c>
      <c r="P537" s="12">
        <v>0</v>
      </c>
    </row>
    <row r="538" spans="1:16" x14ac:dyDescent="0.35">
      <c r="A538">
        <v>536</v>
      </c>
      <c r="C538" s="14">
        <f t="shared" si="33"/>
        <v>1038703.9422780491</v>
      </c>
      <c r="D538" s="14">
        <f t="shared" si="34"/>
        <v>881012.42832072405</v>
      </c>
      <c r="E538" s="14">
        <f t="shared" si="35"/>
        <v>47992.90539393403</v>
      </c>
      <c r="F538" s="14">
        <f t="shared" si="32"/>
        <v>69589.715310565691</v>
      </c>
      <c r="H538" s="14" cm="1">
        <f t="array" ref="H538:K538">MMULT($C537:$F537,P_Matrix)</f>
        <v>989991.09950109932</v>
      </c>
      <c r="I538" s="14">
        <v>860135.4957020313</v>
      </c>
      <c r="J538" s="14">
        <v>47992.90539393403</v>
      </c>
      <c r="K538" s="14">
        <v>139179.42838501756</v>
      </c>
      <c r="M538" s="12">
        <f>MAX((Inputs!F$25*POWER(1+(Inputs!$C$3-(Inputs!$C$3*(('Steady State'!$A538-1)/Inputs!$C$4))),'Steady State'!$A538-1)),M537)</f>
        <v>48712.842776949758</v>
      </c>
      <c r="N538" s="12">
        <f>MAX((Inputs!G$25*POWER(1+(Inputs!$C$3-(Inputs!$C$3*(('Steady State'!$A538-1)/Inputs!$C$4))),'Steady State'!$A538-1)),N537)</f>
        <v>20876.932618692754</v>
      </c>
      <c r="O538" s="12">
        <v>0</v>
      </c>
      <c r="P538" s="12">
        <v>0</v>
      </c>
    </row>
    <row r="539" spans="1:16" x14ac:dyDescent="0.35">
      <c r="A539">
        <v>537</v>
      </c>
      <c r="C539" s="14">
        <f t="shared" si="33"/>
        <v>1038703.9633409164</v>
      </c>
      <c r="D539" s="14">
        <f t="shared" si="34"/>
        <v>881012.46363863826</v>
      </c>
      <c r="E539" s="14">
        <f t="shared" si="35"/>
        <v>47992.906942348149</v>
      </c>
      <c r="F539" s="14">
        <f t="shared" si="32"/>
        <v>69589.717466446717</v>
      </c>
      <c r="H539" s="14" cm="1">
        <f t="array" ref="H539:K539">MMULT($C538:$F538,P_Matrix)</f>
        <v>989991.12056396669</v>
      </c>
      <c r="I539" s="14">
        <v>860135.53101994551</v>
      </c>
      <c r="J539" s="14">
        <v>47992.906942348149</v>
      </c>
      <c r="K539" s="14">
        <v>139179.43277701241</v>
      </c>
      <c r="M539" s="12">
        <f>MAX((Inputs!F$25*POWER(1+(Inputs!$C$3-(Inputs!$C$3*(('Steady State'!$A539-1)/Inputs!$C$4))),'Steady State'!$A539-1)),M538)</f>
        <v>48712.842776949758</v>
      </c>
      <c r="N539" s="12">
        <f>MAX((Inputs!G$25*POWER(1+(Inputs!$C$3-(Inputs!$C$3*(('Steady State'!$A539-1)/Inputs!$C$4))),'Steady State'!$A539-1)),N538)</f>
        <v>20876.932618692754</v>
      </c>
      <c r="O539" s="12">
        <v>0</v>
      </c>
      <c r="P539" s="12">
        <v>0</v>
      </c>
    </row>
    <row r="540" spans="1:16" x14ac:dyDescent="0.35">
      <c r="A540">
        <v>538</v>
      </c>
      <c r="C540" s="14">
        <f t="shared" si="33"/>
        <v>1038703.9836480323</v>
      </c>
      <c r="D540" s="14">
        <f t="shared" si="34"/>
        <v>881012.49768933491</v>
      </c>
      <c r="E540" s="14">
        <f t="shared" si="35"/>
        <v>47992.90843520443</v>
      </c>
      <c r="F540" s="14">
        <f t="shared" si="32"/>
        <v>69589.719544973661</v>
      </c>
      <c r="H540" s="14" cm="1">
        <f t="array" ref="H540:K540">MMULT($C539:$F539,P_Matrix)</f>
        <v>989991.14087108255</v>
      </c>
      <c r="I540" s="14">
        <v>860135.56507064216</v>
      </c>
      <c r="J540" s="14">
        <v>47992.90843520443</v>
      </c>
      <c r="K540" s="14">
        <v>139179.43701142038</v>
      </c>
      <c r="M540" s="12">
        <f>MAX((Inputs!F$25*POWER(1+(Inputs!$C$3-(Inputs!$C$3*(('Steady State'!$A540-1)/Inputs!$C$4))),'Steady State'!$A540-1)),M539)</f>
        <v>48712.842776949758</v>
      </c>
      <c r="N540" s="12">
        <f>MAX((Inputs!G$25*POWER(1+(Inputs!$C$3-(Inputs!$C$3*(('Steady State'!$A540-1)/Inputs!$C$4))),'Steady State'!$A540-1)),N539)</f>
        <v>20876.932618692754</v>
      </c>
      <c r="O540" s="12">
        <v>0</v>
      </c>
      <c r="P540" s="12">
        <v>0</v>
      </c>
    </row>
    <row r="541" spans="1:16" x14ac:dyDescent="0.35">
      <c r="A541">
        <v>539</v>
      </c>
      <c r="C541" s="14">
        <f t="shared" si="33"/>
        <v>1038704.0032265137</v>
      </c>
      <c r="D541" s="14">
        <f t="shared" si="34"/>
        <v>881012.53051828186</v>
      </c>
      <c r="E541" s="14">
        <f t="shared" si="35"/>
        <v>47992.909874496327</v>
      </c>
      <c r="F541" s="14">
        <f t="shared" si="32"/>
        <v>69589.721548922098</v>
      </c>
      <c r="H541" s="14" cm="1">
        <f t="array" ref="H541:K541">MMULT($C540:$F540,P_Matrix)</f>
        <v>989991.16044956399</v>
      </c>
      <c r="I541" s="14">
        <v>860135.59789958911</v>
      </c>
      <c r="J541" s="14">
        <v>47992.909874496327</v>
      </c>
      <c r="K541" s="14">
        <v>139179.44109389576</v>
      </c>
      <c r="M541" s="12">
        <f>MAX((Inputs!F$25*POWER(1+(Inputs!$C$3-(Inputs!$C$3*(('Steady State'!$A541-1)/Inputs!$C$4))),'Steady State'!$A541-1)),M540)</f>
        <v>48712.842776949758</v>
      </c>
      <c r="N541" s="12">
        <f>MAX((Inputs!G$25*POWER(1+(Inputs!$C$3-(Inputs!$C$3*(('Steady State'!$A541-1)/Inputs!$C$4))),'Steady State'!$A541-1)),N540)</f>
        <v>20876.932618692754</v>
      </c>
      <c r="O541" s="12">
        <v>0</v>
      </c>
      <c r="P541" s="12">
        <v>0</v>
      </c>
    </row>
    <row r="542" spans="1:16" x14ac:dyDescent="0.35">
      <c r="A542">
        <v>540</v>
      </c>
      <c r="C542" s="14">
        <f t="shared" si="33"/>
        <v>1038704.022102505</v>
      </c>
      <c r="D542" s="14">
        <f t="shared" si="34"/>
        <v>881012.56216931553</v>
      </c>
      <c r="E542" s="14">
        <f t="shared" si="35"/>
        <v>47992.911262145753</v>
      </c>
      <c r="F542" s="14">
        <f t="shared" si="32"/>
        <v>69589.72348096795</v>
      </c>
      <c r="H542" s="14" cm="1">
        <f t="array" ref="H542:K542">MMULT($C541:$F541,P_Matrix)</f>
        <v>989991.17932555522</v>
      </c>
      <c r="I542" s="14">
        <v>860135.62955062278</v>
      </c>
      <c r="J542" s="14">
        <v>47992.911262145753</v>
      </c>
      <c r="K542" s="14">
        <v>139179.44502989005</v>
      </c>
      <c r="M542" s="12">
        <f>MAX((Inputs!F$25*POWER(1+(Inputs!$C$3-(Inputs!$C$3*(('Steady State'!$A542-1)/Inputs!$C$4))),'Steady State'!$A542-1)),M541)</f>
        <v>48712.842776949758</v>
      </c>
      <c r="N542" s="12">
        <f>MAX((Inputs!G$25*POWER(1+(Inputs!$C$3-(Inputs!$C$3*(('Steady State'!$A542-1)/Inputs!$C$4))),'Steady State'!$A542-1)),N541)</f>
        <v>20876.932618692754</v>
      </c>
      <c r="O542" s="12">
        <v>0</v>
      </c>
      <c r="P542" s="12">
        <v>0</v>
      </c>
    </row>
    <row r="543" spans="1:16" x14ac:dyDescent="0.35">
      <c r="A543">
        <v>541</v>
      </c>
      <c r="C543" s="14">
        <f t="shared" si="33"/>
        <v>1038704.0403012121</v>
      </c>
      <c r="D543" s="14">
        <f t="shared" si="34"/>
        <v>881012.59268469992</v>
      </c>
      <c r="E543" s="14">
        <f t="shared" si="35"/>
        <v>47992.912600005657</v>
      </c>
      <c r="F543" s="14">
        <f t="shared" si="32"/>
        <v>69589.72534369104</v>
      </c>
      <c r="H543" s="14" cm="1">
        <f t="array" ref="H543:K543">MMULT($C542:$F542,P_Matrix)</f>
        <v>989991.19752426236</v>
      </c>
      <c r="I543" s="14">
        <v>860135.66006600717</v>
      </c>
      <c r="J543" s="14">
        <v>47992.912600005657</v>
      </c>
      <c r="K543" s="14">
        <v>139179.44882465899</v>
      </c>
      <c r="M543" s="12">
        <f>MAX((Inputs!F$25*POWER(1+(Inputs!$C$3-(Inputs!$C$3*(('Steady State'!$A543-1)/Inputs!$C$4))),'Steady State'!$A543-1)),M542)</f>
        <v>48712.842776949758</v>
      </c>
      <c r="N543" s="12">
        <f>MAX((Inputs!G$25*POWER(1+(Inputs!$C$3-(Inputs!$C$3*(('Steady State'!$A543-1)/Inputs!$C$4))),'Steady State'!$A543-1)),N542)</f>
        <v>20876.932618692754</v>
      </c>
      <c r="O543" s="12">
        <v>0</v>
      </c>
      <c r="P543" s="12">
        <v>0</v>
      </c>
    </row>
    <row r="544" spans="1:16" x14ac:dyDescent="0.35">
      <c r="A544">
        <v>542</v>
      </c>
      <c r="C544" s="14">
        <f t="shared" si="33"/>
        <v>1038704.0578469366</v>
      </c>
      <c r="D544" s="14">
        <f t="shared" si="34"/>
        <v>881012.62210518215</v>
      </c>
      <c r="E544" s="14">
        <f t="shared" si="35"/>
        <v>47992.913889862517</v>
      </c>
      <c r="F544" s="14">
        <f t="shared" si="32"/>
        <v>69589.727139578783</v>
      </c>
      <c r="H544" s="14" cm="1">
        <f t="array" ref="H544:K544">MMULT($C543:$F543,P_Matrix)</f>
        <v>989991.21506998688</v>
      </c>
      <c r="I544" s="14">
        <v>860135.6894864894</v>
      </c>
      <c r="J544" s="14">
        <v>47992.913889862517</v>
      </c>
      <c r="K544" s="14">
        <v>139179.45248326982</v>
      </c>
      <c r="M544" s="12">
        <f>MAX((Inputs!F$25*POWER(1+(Inputs!$C$3-(Inputs!$C$3*(('Steady State'!$A544-1)/Inputs!$C$4))),'Steady State'!$A544-1)),M543)</f>
        <v>48712.842776949758</v>
      </c>
      <c r="N544" s="12">
        <f>MAX((Inputs!G$25*POWER(1+(Inputs!$C$3-(Inputs!$C$3*(('Steady State'!$A544-1)/Inputs!$C$4))),'Steady State'!$A544-1)),N543)</f>
        <v>20876.932618692754</v>
      </c>
      <c r="O544" s="12">
        <v>0</v>
      </c>
      <c r="P544" s="12">
        <v>0</v>
      </c>
    </row>
    <row r="545" spans="1:16" x14ac:dyDescent="0.35">
      <c r="A545">
        <v>543</v>
      </c>
      <c r="C545" s="14">
        <f t="shared" si="33"/>
        <v>1038704.0747631082</v>
      </c>
      <c r="D545" s="14">
        <f t="shared" si="34"/>
        <v>881012.65047004749</v>
      </c>
      <c r="E545" s="14">
        <f t="shared" si="35"/>
        <v>47992.915133438699</v>
      </c>
      <c r="F545" s="14">
        <f t="shared" si="32"/>
        <v>69589.72887102919</v>
      </c>
      <c r="H545" s="14" cm="1">
        <f t="array" ref="H545:K545">MMULT($C544:$F544,P_Matrix)</f>
        <v>989991.23198615841</v>
      </c>
      <c r="I545" s="14">
        <v>860135.71785135474</v>
      </c>
      <c r="J545" s="14">
        <v>47992.915133438699</v>
      </c>
      <c r="K545" s="14">
        <v>139179.45601060797</v>
      </c>
      <c r="M545" s="12">
        <f>MAX((Inputs!F$25*POWER(1+(Inputs!$C$3-(Inputs!$C$3*(('Steady State'!$A545-1)/Inputs!$C$4))),'Steady State'!$A545-1)),M544)</f>
        <v>48712.842776949758</v>
      </c>
      <c r="N545" s="12">
        <f>MAX((Inputs!G$25*POWER(1+(Inputs!$C$3-(Inputs!$C$3*(('Steady State'!$A545-1)/Inputs!$C$4))),'Steady State'!$A545-1)),N544)</f>
        <v>20876.932618692754</v>
      </c>
      <c r="O545" s="12">
        <v>0</v>
      </c>
      <c r="P545" s="12">
        <v>0</v>
      </c>
    </row>
    <row r="546" spans="1:16" x14ac:dyDescent="0.35">
      <c r="A546">
        <v>544</v>
      </c>
      <c r="C546" s="14">
        <f t="shared" si="33"/>
        <v>1038704.0910723158</v>
      </c>
      <c r="D546" s="14">
        <f t="shared" si="34"/>
        <v>881012.67781717191</v>
      </c>
      <c r="E546" s="14">
        <f t="shared" si="35"/>
        <v>47992.916332394772</v>
      </c>
      <c r="F546" s="14">
        <f t="shared" si="32"/>
        <v>69589.730540354358</v>
      </c>
      <c r="H546" s="14" cm="1">
        <f t="array" ref="H546:K546">MMULT($C545:$F545,P_Matrix)</f>
        <v>989991.24829536607</v>
      </c>
      <c r="I546" s="14">
        <v>860135.74519847916</v>
      </c>
      <c r="J546" s="14">
        <v>47992.916332394772</v>
      </c>
      <c r="K546" s="14">
        <v>139179.45941138355</v>
      </c>
      <c r="M546" s="12">
        <f>MAX((Inputs!F$25*POWER(1+(Inputs!$C$3-(Inputs!$C$3*(('Steady State'!$A546-1)/Inputs!$C$4))),'Steady State'!$A546-1)),M545)</f>
        <v>48712.842776949758</v>
      </c>
      <c r="N546" s="12">
        <f>MAX((Inputs!G$25*POWER(1+(Inputs!$C$3-(Inputs!$C$3*(('Steady State'!$A546-1)/Inputs!$C$4))),'Steady State'!$A546-1)),N545)</f>
        <v>20876.932618692754</v>
      </c>
      <c r="O546" s="12">
        <v>0</v>
      </c>
      <c r="P546" s="12">
        <v>0</v>
      </c>
    </row>
    <row r="547" spans="1:16" x14ac:dyDescent="0.35">
      <c r="A547">
        <v>545</v>
      </c>
      <c r="C547" s="14">
        <f t="shared" si="33"/>
        <v>1038704.1067963378</v>
      </c>
      <c r="D547" s="14">
        <f t="shared" si="34"/>
        <v>881012.70418307208</v>
      </c>
      <c r="E547" s="14">
        <f t="shared" si="35"/>
        <v>47992.917488331746</v>
      </c>
      <c r="F547" s="14">
        <f t="shared" si="32"/>
        <v>69589.732149783318</v>
      </c>
      <c r="H547" s="14" cm="1">
        <f t="array" ref="H547:K547">MMULT($C546:$F546,P_Matrix)</f>
        <v>989991.26401938801</v>
      </c>
      <c r="I547" s="14">
        <v>860135.77156437933</v>
      </c>
      <c r="J547" s="14">
        <v>47992.917488331746</v>
      </c>
      <c r="K547" s="14">
        <v>139179.46269013768</v>
      </c>
      <c r="M547" s="12">
        <f>MAX((Inputs!F$25*POWER(1+(Inputs!$C$3-(Inputs!$C$3*(('Steady State'!$A547-1)/Inputs!$C$4))),'Steady State'!$A547-1)),M546)</f>
        <v>48712.842776949758</v>
      </c>
      <c r="N547" s="12">
        <f>MAX((Inputs!G$25*POWER(1+(Inputs!$C$3-(Inputs!$C$3*(('Steady State'!$A547-1)/Inputs!$C$4))),'Steady State'!$A547-1)),N546)</f>
        <v>20876.932618692754</v>
      </c>
      <c r="O547" s="12">
        <v>0</v>
      </c>
      <c r="P547" s="12">
        <v>0</v>
      </c>
    </row>
    <row r="548" spans="1:16" x14ac:dyDescent="0.35">
      <c r="A548">
        <v>546</v>
      </c>
      <c r="C548" s="14">
        <f t="shared" si="33"/>
        <v>1038704.121956171</v>
      </c>
      <c r="D548" s="14">
        <f t="shared" si="34"/>
        <v>881012.72960295447</v>
      </c>
      <c r="E548" s="14">
        <f t="shared" si="35"/>
        <v>47992.918602793143</v>
      </c>
      <c r="F548" s="14">
        <f t="shared" si="32"/>
        <v>69589.733701465215</v>
      </c>
      <c r="H548" s="14" cm="1">
        <f t="array" ref="H548:K548">MMULT($C547:$F547,P_Matrix)</f>
        <v>989991.27917922125</v>
      </c>
      <c r="I548" s="14">
        <v>860135.79698426172</v>
      </c>
      <c r="J548" s="14">
        <v>47992.918602793143</v>
      </c>
      <c r="K548" s="14">
        <v>139179.46585124853</v>
      </c>
      <c r="M548" s="12">
        <f>MAX((Inputs!F$25*POWER(1+(Inputs!$C$3-(Inputs!$C$3*(('Steady State'!$A548-1)/Inputs!$C$4))),'Steady State'!$A548-1)),M547)</f>
        <v>48712.842776949758</v>
      </c>
      <c r="N548" s="12">
        <f>MAX((Inputs!G$25*POWER(1+(Inputs!$C$3-(Inputs!$C$3*(('Steady State'!$A548-1)/Inputs!$C$4))),'Steady State'!$A548-1)),N547)</f>
        <v>20876.932618692754</v>
      </c>
      <c r="O548" s="12">
        <v>0</v>
      </c>
      <c r="P548" s="12">
        <v>0</v>
      </c>
    </row>
    <row r="549" spans="1:16" x14ac:dyDescent="0.35">
      <c r="A549">
        <v>547</v>
      </c>
      <c r="C549" s="14">
        <f t="shared" si="33"/>
        <v>1038704.1365720594</v>
      </c>
      <c r="D549" s="14">
        <f t="shared" si="34"/>
        <v>881012.75411076262</v>
      </c>
      <c r="E549" s="14">
        <f t="shared" si="35"/>
        <v>47992.919677267142</v>
      </c>
      <c r="F549" s="14">
        <f t="shared" si="32"/>
        <v>69589.735197472066</v>
      </c>
      <c r="H549" s="14" cm="1">
        <f t="array" ref="H549:K549">MMULT($C548:$F548,P_Matrix)</f>
        <v>989991.29379510961</v>
      </c>
      <c r="I549" s="14">
        <v>860135.82149206987</v>
      </c>
      <c r="J549" s="14">
        <v>47992.919677267142</v>
      </c>
      <c r="K549" s="14">
        <v>139179.46889893728</v>
      </c>
      <c r="M549" s="12">
        <f>MAX((Inputs!F$25*POWER(1+(Inputs!$C$3-(Inputs!$C$3*(('Steady State'!$A549-1)/Inputs!$C$4))),'Steady State'!$A549-1)),M548)</f>
        <v>48712.842776949758</v>
      </c>
      <c r="N549" s="12">
        <f>MAX((Inputs!G$25*POWER(1+(Inputs!$C$3-(Inputs!$C$3*(('Steady State'!$A549-1)/Inputs!$C$4))),'Steady State'!$A549-1)),N548)</f>
        <v>20876.932618692754</v>
      </c>
      <c r="O549" s="12">
        <v>0</v>
      </c>
      <c r="P549" s="12">
        <v>0</v>
      </c>
    </row>
    <row r="550" spans="1:16" x14ac:dyDescent="0.35">
      <c r="A550">
        <v>548</v>
      </c>
      <c r="C550" s="14">
        <f t="shared" si="33"/>
        <v>1038704.1506635197</v>
      </c>
      <c r="D550" s="14">
        <f t="shared" si="34"/>
        <v>881012.7777392217</v>
      </c>
      <c r="E550" s="14">
        <f t="shared" si="35"/>
        <v>47992.920713188505</v>
      </c>
      <c r="F550" s="14">
        <f t="shared" si="32"/>
        <v>69589.736639801442</v>
      </c>
      <c r="H550" s="14" cm="1">
        <f t="array" ref="H550:K550">MMULT($C549:$F549,P_Matrix)</f>
        <v>989991.30788656999</v>
      </c>
      <c r="I550" s="14">
        <v>860135.84512052895</v>
      </c>
      <c r="J550" s="14">
        <v>47992.920713188505</v>
      </c>
      <c r="K550" s="14">
        <v>139179.47183727351</v>
      </c>
      <c r="M550" s="12">
        <f>MAX((Inputs!F$25*POWER(1+(Inputs!$C$3-(Inputs!$C$3*(('Steady State'!$A550-1)/Inputs!$C$4))),'Steady State'!$A550-1)),M549)</f>
        <v>48712.842776949758</v>
      </c>
      <c r="N550" s="12">
        <f>MAX((Inputs!G$25*POWER(1+(Inputs!$C$3-(Inputs!$C$3*(('Steady State'!$A550-1)/Inputs!$C$4))),'Steady State'!$A550-1)),N549)</f>
        <v>20876.932618692754</v>
      </c>
      <c r="O550" s="12">
        <v>0</v>
      </c>
      <c r="P550" s="12">
        <v>0</v>
      </c>
    </row>
    <row r="551" spans="1:16" x14ac:dyDescent="0.35">
      <c r="A551">
        <v>549</v>
      </c>
      <c r="C551" s="14">
        <f t="shared" si="33"/>
        <v>1038704.1642493693</v>
      </c>
      <c r="D551" s="14">
        <f t="shared" si="34"/>
        <v>881012.80051988317</v>
      </c>
      <c r="E551" s="14">
        <f t="shared" si="35"/>
        <v>47992.921711940522</v>
      </c>
      <c r="F551" s="14">
        <f t="shared" si="32"/>
        <v>69589.738030379376</v>
      </c>
      <c r="H551" s="14" cm="1">
        <f t="array" ref="H551:K551">MMULT($C550:$F550,P_Matrix)</f>
        <v>989991.32147241954</v>
      </c>
      <c r="I551" s="14">
        <v>860135.86790119042</v>
      </c>
      <c r="J551" s="14">
        <v>47992.921711940522</v>
      </c>
      <c r="K551" s="14">
        <v>139179.47467018082</v>
      </c>
      <c r="M551" s="12">
        <f>MAX((Inputs!F$25*POWER(1+(Inputs!$C$3-(Inputs!$C$3*(('Steady State'!$A551-1)/Inputs!$C$4))),'Steady State'!$A551-1)),M550)</f>
        <v>48712.842776949758</v>
      </c>
      <c r="N551" s="12">
        <f>MAX((Inputs!G$25*POWER(1+(Inputs!$C$3-(Inputs!$C$3*(('Steady State'!$A551-1)/Inputs!$C$4))),'Steady State'!$A551-1)),N550)</f>
        <v>20876.932618692754</v>
      </c>
      <c r="O551" s="12">
        <v>0</v>
      </c>
      <c r="P551" s="12">
        <v>0</v>
      </c>
    </row>
    <row r="552" spans="1:16" x14ac:dyDescent="0.35">
      <c r="A552">
        <v>550</v>
      </c>
      <c r="C552" s="14">
        <f t="shared" si="33"/>
        <v>1038704.1773477497</v>
      </c>
      <c r="D552" s="14">
        <f t="shared" si="34"/>
        <v>881012.82248316612</v>
      </c>
      <c r="E552" s="14">
        <f t="shared" si="35"/>
        <v>47992.92267485684</v>
      </c>
      <c r="F552" s="14">
        <f t="shared" si="32"/>
        <v>69589.739371062693</v>
      </c>
      <c r="H552" s="14" cm="1">
        <f t="array" ref="H552:K552">MMULT($C551:$F551,P_Matrix)</f>
        <v>989991.33457079995</v>
      </c>
      <c r="I552" s="14">
        <v>860135.88986447337</v>
      </c>
      <c r="J552" s="14">
        <v>47992.92267485684</v>
      </c>
      <c r="K552" s="14">
        <v>139179.47740144207</v>
      </c>
      <c r="M552" s="12">
        <f>MAX((Inputs!F$25*POWER(1+(Inputs!$C$3-(Inputs!$C$3*(('Steady State'!$A552-1)/Inputs!$C$4))),'Steady State'!$A552-1)),M551)</f>
        <v>48712.842776949758</v>
      </c>
      <c r="N552" s="12">
        <f>MAX((Inputs!G$25*POWER(1+(Inputs!$C$3-(Inputs!$C$3*(('Steady State'!$A552-1)/Inputs!$C$4))),'Steady State'!$A552-1)),N551)</f>
        <v>20876.932618692754</v>
      </c>
      <c r="O552" s="12">
        <v>0</v>
      </c>
      <c r="P552" s="12">
        <v>0</v>
      </c>
    </row>
    <row r="553" spans="1:16" x14ac:dyDescent="0.35">
      <c r="A553">
        <v>551</v>
      </c>
      <c r="C553" s="14">
        <f t="shared" si="33"/>
        <v>1038704.1899761517</v>
      </c>
      <c r="D553" s="14">
        <f t="shared" si="34"/>
        <v>881012.84365839837</v>
      </c>
      <c r="E553" s="14">
        <f t="shared" si="35"/>
        <v>47992.923603223258</v>
      </c>
      <c r="F553" s="14">
        <f t="shared" si="32"/>
        <v>69589.740663641685</v>
      </c>
      <c r="H553" s="14" cm="1">
        <f t="array" ref="H553:K553">MMULT($C552:$F552,P_Matrix)</f>
        <v>989991.34719920193</v>
      </c>
      <c r="I553" s="14">
        <v>860135.91103970562</v>
      </c>
      <c r="J553" s="14">
        <v>47992.923603223258</v>
      </c>
      <c r="K553" s="14">
        <v>139179.48003470438</v>
      </c>
      <c r="M553" s="12">
        <f>MAX((Inputs!F$25*POWER(1+(Inputs!$C$3-(Inputs!$C$3*(('Steady State'!$A553-1)/Inputs!$C$4))),'Steady State'!$A553-1)),M552)</f>
        <v>48712.842776949758</v>
      </c>
      <c r="N553" s="12">
        <f>MAX((Inputs!G$25*POWER(1+(Inputs!$C$3-(Inputs!$C$3*(('Steady State'!$A553-1)/Inputs!$C$4))),'Steady State'!$A553-1)),N552)</f>
        <v>20876.932618692754</v>
      </c>
      <c r="O553" s="12">
        <v>0</v>
      </c>
      <c r="P553" s="12">
        <v>0</v>
      </c>
    </row>
    <row r="554" spans="1:16" x14ac:dyDescent="0.35">
      <c r="A554">
        <v>552</v>
      </c>
      <c r="C554" s="14">
        <f t="shared" si="33"/>
        <v>1038704.2021514386</v>
      </c>
      <c r="D554" s="14">
        <f t="shared" si="34"/>
        <v>881012.86407385534</v>
      </c>
      <c r="E554" s="14">
        <f t="shared" si="35"/>
        <v>47992.924498279455</v>
      </c>
      <c r="F554" s="14">
        <f t="shared" si="32"/>
        <v>69589.741909842327</v>
      </c>
      <c r="H554" s="14" cm="1">
        <f t="array" ref="H554:K554">MMULT($C553:$F553,P_Matrix)</f>
        <v>989991.35937448882</v>
      </c>
      <c r="I554" s="14">
        <v>860135.93145516259</v>
      </c>
      <c r="J554" s="14">
        <v>47992.924498279455</v>
      </c>
      <c r="K554" s="14">
        <v>139179.48257348401</v>
      </c>
      <c r="M554" s="12">
        <f>MAX((Inputs!F$25*POWER(1+(Inputs!$C$3-(Inputs!$C$3*(('Steady State'!$A554-1)/Inputs!$C$4))),'Steady State'!$A554-1)),M553)</f>
        <v>48712.842776949758</v>
      </c>
      <c r="N554" s="12">
        <f>MAX((Inputs!G$25*POWER(1+(Inputs!$C$3-(Inputs!$C$3*(('Steady State'!$A554-1)/Inputs!$C$4))),'Steady State'!$A554-1)),N553)</f>
        <v>20876.932618692754</v>
      </c>
      <c r="O554" s="12">
        <v>0</v>
      </c>
      <c r="P554" s="12">
        <v>0</v>
      </c>
    </row>
    <row r="555" spans="1:16" x14ac:dyDescent="0.35">
      <c r="A555">
        <v>553</v>
      </c>
      <c r="C555" s="14">
        <f t="shared" si="33"/>
        <v>1038704.2138898683</v>
      </c>
      <c r="D555" s="14">
        <f t="shared" si="34"/>
        <v>881012.88375679799</v>
      </c>
      <c r="E555" s="14">
        <f t="shared" si="35"/>
        <v>47992.925361220608</v>
      </c>
      <c r="F555" s="14">
        <f t="shared" si="32"/>
        <v>69589.743111328688</v>
      </c>
      <c r="H555" s="14" cm="1">
        <f t="array" ref="H555:K555">MMULT($C554:$F554,P_Matrix)</f>
        <v>989991.3711129186</v>
      </c>
      <c r="I555" s="14">
        <v>860135.95113810524</v>
      </c>
      <c r="J555" s="14">
        <v>47992.925361220608</v>
      </c>
      <c r="K555" s="14">
        <v>139179.48502117101</v>
      </c>
      <c r="M555" s="12">
        <f>MAX((Inputs!F$25*POWER(1+(Inputs!$C$3-(Inputs!$C$3*(('Steady State'!$A555-1)/Inputs!$C$4))),'Steady State'!$A555-1)),M554)</f>
        <v>48712.842776949758</v>
      </c>
      <c r="N555" s="12">
        <f>MAX((Inputs!G$25*POWER(1+(Inputs!$C$3-(Inputs!$C$3*(('Steady State'!$A555-1)/Inputs!$C$4))),'Steady State'!$A555-1)),N554)</f>
        <v>20876.932618692754</v>
      </c>
      <c r="O555" s="12">
        <v>0</v>
      </c>
      <c r="P555" s="12">
        <v>0</v>
      </c>
    </row>
    <row r="556" spans="1:16" x14ac:dyDescent="0.35">
      <c r="A556">
        <v>554</v>
      </c>
      <c r="C556" s="14">
        <f t="shared" si="33"/>
        <v>1038704.225207116</v>
      </c>
      <c r="D556" s="14">
        <f t="shared" si="34"/>
        <v>881012.9027335092</v>
      </c>
      <c r="E556" s="14">
        <f t="shared" si="35"/>
        <v>47992.926193199026</v>
      </c>
      <c r="F556" s="14">
        <f t="shared" si="32"/>
        <v>69589.744269705145</v>
      </c>
      <c r="H556" s="14" cm="1">
        <f t="array" ref="H556:K556">MMULT($C555:$F555,P_Matrix)</f>
        <v>989991.38243016624</v>
      </c>
      <c r="I556" s="14">
        <v>860135.97011481645</v>
      </c>
      <c r="J556" s="14">
        <v>47992.926193199026</v>
      </c>
      <c r="K556" s="14">
        <v>139179.48738103383</v>
      </c>
      <c r="M556" s="12">
        <f>MAX((Inputs!F$25*POWER(1+(Inputs!$C$3-(Inputs!$C$3*(('Steady State'!$A556-1)/Inputs!$C$4))),'Steady State'!$A556-1)),M555)</f>
        <v>48712.842776949758</v>
      </c>
      <c r="N556" s="12">
        <f>MAX((Inputs!G$25*POWER(1+(Inputs!$C$3-(Inputs!$C$3*(('Steady State'!$A556-1)/Inputs!$C$4))),'Steady State'!$A556-1)),N555)</f>
        <v>20876.932618692754</v>
      </c>
      <c r="O556" s="12">
        <v>0</v>
      </c>
      <c r="P556" s="12">
        <v>0</v>
      </c>
    </row>
    <row r="557" spans="1:16" x14ac:dyDescent="0.35">
      <c r="A557">
        <v>555</v>
      </c>
      <c r="C557" s="14">
        <f t="shared" si="33"/>
        <v>1038704.2361182937</v>
      </c>
      <c r="D557" s="14">
        <f t="shared" si="34"/>
        <v>881012.92102932872</v>
      </c>
      <c r="E557" s="14">
        <f t="shared" si="35"/>
        <v>47992.926995325666</v>
      </c>
      <c r="F557" s="14">
        <f t="shared" si="32"/>
        <v>69589.745386518509</v>
      </c>
      <c r="H557" s="14" cm="1">
        <f t="array" ref="H557:K557">MMULT($C556:$F556,P_Matrix)</f>
        <v>989991.39334134397</v>
      </c>
      <c r="I557" s="14">
        <v>860135.98841063597</v>
      </c>
      <c r="J557" s="14">
        <v>47992.926995325666</v>
      </c>
      <c r="K557" s="14">
        <v>139179.48965622365</v>
      </c>
      <c r="M557" s="12">
        <f>MAX((Inputs!F$25*POWER(1+(Inputs!$C$3-(Inputs!$C$3*(('Steady State'!$A557-1)/Inputs!$C$4))),'Steady State'!$A557-1)),M556)</f>
        <v>48712.842776949758</v>
      </c>
      <c r="N557" s="12">
        <f>MAX((Inputs!G$25*POWER(1+(Inputs!$C$3-(Inputs!$C$3*(('Steady State'!$A557-1)/Inputs!$C$4))),'Steady State'!$A557-1)),N556)</f>
        <v>20876.932618692754</v>
      </c>
      <c r="O557" s="12">
        <v>0</v>
      </c>
      <c r="P557" s="12">
        <v>0</v>
      </c>
    </row>
    <row r="558" spans="1:16" x14ac:dyDescent="0.35">
      <c r="A558">
        <v>556</v>
      </c>
      <c r="C558" s="14">
        <f t="shared" si="33"/>
        <v>1038704.2466379717</v>
      </c>
      <c r="D558" s="14">
        <f t="shared" si="34"/>
        <v>881012.93866868713</v>
      </c>
      <c r="E558" s="14">
        <f t="shared" si="35"/>
        <v>47992.927768671623</v>
      </c>
      <c r="F558" s="14">
        <f t="shared" si="32"/>
        <v>69589.74646326009</v>
      </c>
      <c r="H558" s="14" cm="1">
        <f t="array" ref="H558:K558">MMULT($C557:$F557,P_Matrix)</f>
        <v>989991.40386102197</v>
      </c>
      <c r="I558" s="14">
        <v>860136.00604999438</v>
      </c>
      <c r="J558" s="14">
        <v>47992.927768671623</v>
      </c>
      <c r="K558" s="14">
        <v>139179.4918497786</v>
      </c>
      <c r="M558" s="12">
        <f>MAX((Inputs!F$25*POWER(1+(Inputs!$C$3-(Inputs!$C$3*(('Steady State'!$A558-1)/Inputs!$C$4))),'Steady State'!$A558-1)),M557)</f>
        <v>48712.842776949758</v>
      </c>
      <c r="N558" s="12">
        <f>MAX((Inputs!G$25*POWER(1+(Inputs!$C$3-(Inputs!$C$3*(('Steady State'!$A558-1)/Inputs!$C$4))),'Steady State'!$A558-1)),N557)</f>
        <v>20876.932618692754</v>
      </c>
      <c r="O558" s="12">
        <v>0</v>
      </c>
      <c r="P558" s="12">
        <v>0</v>
      </c>
    </row>
    <row r="559" spans="1:16" x14ac:dyDescent="0.35">
      <c r="A559">
        <v>557</v>
      </c>
      <c r="C559" s="14">
        <f t="shared" si="33"/>
        <v>1038704.2567801971</v>
      </c>
      <c r="D559" s="14">
        <f t="shared" si="34"/>
        <v>881012.95567513839</v>
      </c>
      <c r="E559" s="14">
        <f t="shared" si="35"/>
        <v>47992.928514269559</v>
      </c>
      <c r="F559" s="14">
        <f t="shared" si="32"/>
        <v>69589.747501367674</v>
      </c>
      <c r="H559" s="14" cm="1">
        <f t="array" ref="H559:K559">MMULT($C558:$F558,P_Matrix)</f>
        <v>989991.4140032474</v>
      </c>
      <c r="I559" s="14">
        <v>860136.02305644564</v>
      </c>
      <c r="J559" s="14">
        <v>47992.928514269559</v>
      </c>
      <c r="K559" s="14">
        <v>139179.49396462776</v>
      </c>
      <c r="M559" s="12">
        <f>MAX((Inputs!F$25*POWER(1+(Inputs!$C$3-(Inputs!$C$3*(('Steady State'!$A559-1)/Inputs!$C$4))),'Steady State'!$A559-1)),M558)</f>
        <v>48712.842776949758</v>
      </c>
      <c r="N559" s="12">
        <f>MAX((Inputs!G$25*POWER(1+(Inputs!$C$3-(Inputs!$C$3*(('Steady State'!$A559-1)/Inputs!$C$4))),'Steady State'!$A559-1)),N558)</f>
        <v>20876.932618692754</v>
      </c>
      <c r="O559" s="12">
        <v>0</v>
      </c>
      <c r="P559" s="12">
        <v>0</v>
      </c>
    </row>
    <row r="560" spans="1:16" x14ac:dyDescent="0.35">
      <c r="A560">
        <v>558</v>
      </c>
      <c r="C560" s="14">
        <f t="shared" si="33"/>
        <v>1038704.2665585134</v>
      </c>
      <c r="D560" s="14">
        <f t="shared" si="34"/>
        <v>881012.97207139153</v>
      </c>
      <c r="E560" s="14">
        <f t="shared" si="35"/>
        <v>47992.929233115094</v>
      </c>
      <c r="F560" s="14">
        <f t="shared" si="32"/>
        <v>69589.748502227449</v>
      </c>
      <c r="H560" s="14" cm="1">
        <f t="array" ref="H560:K560">MMULT($C559:$F559,P_Matrix)</f>
        <v>989991.42378156364</v>
      </c>
      <c r="I560" s="14">
        <v>860136.03945269878</v>
      </c>
      <c r="J560" s="14">
        <v>47992.929233115094</v>
      </c>
      <c r="K560" s="14">
        <v>139179.49600359512</v>
      </c>
      <c r="M560" s="12">
        <f>MAX((Inputs!F$25*POWER(1+(Inputs!$C$3-(Inputs!$C$3*(('Steady State'!$A560-1)/Inputs!$C$4))),'Steady State'!$A560-1)),M559)</f>
        <v>48712.842776949758</v>
      </c>
      <c r="N560" s="12">
        <f>MAX((Inputs!G$25*POWER(1+(Inputs!$C$3-(Inputs!$C$3*(('Steady State'!$A560-1)/Inputs!$C$4))),'Steady State'!$A560-1)),N559)</f>
        <v>20876.932618692754</v>
      </c>
      <c r="O560" s="12">
        <v>0</v>
      </c>
      <c r="P560" s="12">
        <v>0</v>
      </c>
    </row>
    <row r="561" spans="1:16" x14ac:dyDescent="0.35">
      <c r="A561">
        <v>559</v>
      </c>
      <c r="C561" s="14">
        <f t="shared" si="33"/>
        <v>1038704.2759859777</v>
      </c>
      <c r="D561" s="14">
        <f t="shared" si="34"/>
        <v>881012.98787934065</v>
      </c>
      <c r="E561" s="14">
        <f t="shared" si="35"/>
        <v>47992.929926168101</v>
      </c>
      <c r="F561" s="14">
        <f t="shared" si="32"/>
        <v>69589.74946717592</v>
      </c>
      <c r="H561" s="14" cm="1">
        <f t="array" ref="H561:K561">MMULT($C560:$F560,P_Matrix)</f>
        <v>989991.43320902798</v>
      </c>
      <c r="I561" s="14">
        <v>860136.0552606479</v>
      </c>
      <c r="J561" s="14">
        <v>47992.929926168101</v>
      </c>
      <c r="K561" s="14">
        <v>139179.49796940337</v>
      </c>
      <c r="M561" s="12">
        <f>MAX((Inputs!F$25*POWER(1+(Inputs!$C$3-(Inputs!$C$3*(('Steady State'!$A561-1)/Inputs!$C$4))),'Steady State'!$A561-1)),M560)</f>
        <v>48712.842776949758</v>
      </c>
      <c r="N561" s="12">
        <f>MAX((Inputs!G$25*POWER(1+(Inputs!$C$3-(Inputs!$C$3*(('Steady State'!$A561-1)/Inputs!$C$4))),'Steady State'!$A561-1)),N560)</f>
        <v>20876.932618692754</v>
      </c>
      <c r="O561" s="12">
        <v>0</v>
      </c>
      <c r="P561" s="12">
        <v>0</v>
      </c>
    </row>
    <row r="562" spans="1:16" x14ac:dyDescent="0.35">
      <c r="A562">
        <v>560</v>
      </c>
      <c r="C562" s="14">
        <f t="shared" si="33"/>
        <v>1038704.285075179</v>
      </c>
      <c r="D562" s="14">
        <f t="shared" si="34"/>
        <v>881013.00312009419</v>
      </c>
      <c r="E562" s="14">
        <f t="shared" si="35"/>
        <v>47992.930594354046</v>
      </c>
      <c r="F562" s="14">
        <f t="shared" si="32"/>
        <v>69589.750397501572</v>
      </c>
      <c r="H562" s="14" cm="1">
        <f t="array" ref="H562:K562">MMULT($C561:$F561,P_Matrix)</f>
        <v>989991.4422982292</v>
      </c>
      <c r="I562" s="14">
        <v>860136.07050140144</v>
      </c>
      <c r="J562" s="14">
        <v>47992.930594354046</v>
      </c>
      <c r="K562" s="14">
        <v>139179.49986467749</v>
      </c>
      <c r="M562" s="12">
        <f>MAX((Inputs!F$25*POWER(1+(Inputs!$C$3-(Inputs!$C$3*(('Steady State'!$A562-1)/Inputs!$C$4))),'Steady State'!$A562-1)),M561)</f>
        <v>48712.842776949758</v>
      </c>
      <c r="N562" s="12">
        <f>MAX((Inputs!G$25*POWER(1+(Inputs!$C$3-(Inputs!$C$3*(('Steady State'!$A562-1)/Inputs!$C$4))),'Steady State'!$A562-1)),N561)</f>
        <v>20876.932618692754</v>
      </c>
      <c r="O562" s="12">
        <v>0</v>
      </c>
      <c r="P562" s="12">
        <v>0</v>
      </c>
    </row>
    <row r="563" spans="1:16" x14ac:dyDescent="0.35">
      <c r="A563">
        <v>561</v>
      </c>
      <c r="C563" s="14">
        <f t="shared" si="33"/>
        <v>1038704.2938382543</v>
      </c>
      <c r="D563" s="14">
        <f t="shared" si="34"/>
        <v>881013.01781400351</v>
      </c>
      <c r="E563" s="14">
        <f t="shared" si="35"/>
        <v>47992.931238565157</v>
      </c>
      <c r="F563" s="14">
        <f t="shared" si="32"/>
        <v>69589.751294446702</v>
      </c>
      <c r="H563" s="14" cm="1">
        <f t="array" ref="H563:K563">MMULT($C562:$F562,P_Matrix)</f>
        <v>989991.45106130454</v>
      </c>
      <c r="I563" s="14">
        <v>860136.08519531076</v>
      </c>
      <c r="J563" s="14">
        <v>47992.931238565157</v>
      </c>
      <c r="K563" s="14">
        <v>139179.50169194827</v>
      </c>
      <c r="M563" s="12">
        <f>MAX((Inputs!F$25*POWER(1+(Inputs!$C$3-(Inputs!$C$3*(('Steady State'!$A563-1)/Inputs!$C$4))),'Steady State'!$A563-1)),M562)</f>
        <v>48712.842776949758</v>
      </c>
      <c r="N563" s="12">
        <f>MAX((Inputs!G$25*POWER(1+(Inputs!$C$3-(Inputs!$C$3*(('Steady State'!$A563-1)/Inputs!$C$4))),'Steady State'!$A563-1)),N562)</f>
        <v>20876.932618692754</v>
      </c>
      <c r="O563" s="12">
        <v>0</v>
      </c>
      <c r="P563" s="12">
        <v>0</v>
      </c>
    </row>
    <row r="564" spans="1:16" x14ac:dyDescent="0.35">
      <c r="A564">
        <v>562</v>
      </c>
      <c r="C564" s="14">
        <f t="shared" si="33"/>
        <v>1038704.3022869052</v>
      </c>
      <c r="D564" s="14">
        <f t="shared" si="34"/>
        <v>881013.03198068938</v>
      </c>
      <c r="E564" s="14">
        <f t="shared" si="35"/>
        <v>47992.931859661672</v>
      </c>
      <c r="F564" s="14">
        <f t="shared" si="32"/>
        <v>69589.75215920902</v>
      </c>
      <c r="H564" s="14" cm="1">
        <f t="array" ref="H564:K564">MMULT($C563:$F563,P_Matrix)</f>
        <v>989991.45950995549</v>
      </c>
      <c r="I564" s="14">
        <v>860136.09936199663</v>
      </c>
      <c r="J564" s="14">
        <v>47992.931859661672</v>
      </c>
      <c r="K564" s="14">
        <v>139179.50345365572</v>
      </c>
      <c r="M564" s="12">
        <f>MAX((Inputs!F$25*POWER(1+(Inputs!$C$3-(Inputs!$C$3*(('Steady State'!$A564-1)/Inputs!$C$4))),'Steady State'!$A564-1)),M563)</f>
        <v>48712.842776949758</v>
      </c>
      <c r="N564" s="12">
        <f>MAX((Inputs!G$25*POWER(1+(Inputs!$C$3-(Inputs!$C$3*(('Steady State'!$A564-1)/Inputs!$C$4))),'Steady State'!$A564-1)),N563)</f>
        <v>20876.932618692754</v>
      </c>
      <c r="O564" s="12">
        <v>0</v>
      </c>
      <c r="P564" s="12">
        <v>0</v>
      </c>
    </row>
    <row r="565" spans="1:16" x14ac:dyDescent="0.35">
      <c r="A565">
        <v>563</v>
      </c>
      <c r="C565" s="14">
        <f t="shared" si="33"/>
        <v>1038704.3104324137</v>
      </c>
      <c r="D565" s="14">
        <f t="shared" si="34"/>
        <v>881013.0456390687</v>
      </c>
      <c r="E565" s="14">
        <f t="shared" si="35"/>
        <v>47992.932458472947</v>
      </c>
      <c r="F565" s="14">
        <f t="shared" si="32"/>
        <v>69589.752992943249</v>
      </c>
      <c r="H565" s="14" cm="1">
        <f t="array" ref="H565:K565">MMULT($C564:$F564,P_Matrix)</f>
        <v>989991.46765546396</v>
      </c>
      <c r="I565" s="14">
        <v>860136.11302037595</v>
      </c>
      <c r="J565" s="14">
        <v>47992.932458472947</v>
      </c>
      <c r="K565" s="14">
        <v>139179.50515215227</v>
      </c>
      <c r="M565" s="12">
        <f>MAX((Inputs!F$25*POWER(1+(Inputs!$C$3-(Inputs!$C$3*(('Steady State'!$A565-1)/Inputs!$C$4))),'Steady State'!$A565-1)),M564)</f>
        <v>48712.842776949758</v>
      </c>
      <c r="N565" s="12">
        <f>MAX((Inputs!G$25*POWER(1+(Inputs!$C$3-(Inputs!$C$3*(('Steady State'!$A565-1)/Inputs!$C$4))),'Steady State'!$A565-1)),N564)</f>
        <v>20876.932618692754</v>
      </c>
      <c r="O565" s="12">
        <v>0</v>
      </c>
      <c r="P565" s="12">
        <v>0</v>
      </c>
    </row>
    <row r="566" spans="1:16" x14ac:dyDescent="0.35">
      <c r="A566">
        <v>564</v>
      </c>
      <c r="C566" s="14">
        <f t="shared" si="33"/>
        <v>1038704.3182856566</v>
      </c>
      <c r="D566" s="14">
        <f t="shared" si="34"/>
        <v>881013.05880737992</v>
      </c>
      <c r="E566" s="14">
        <f t="shared" si="35"/>
        <v>47992.933035798589</v>
      </c>
      <c r="F566" s="14">
        <f t="shared" si="32"/>
        <v>69589.753796762699</v>
      </c>
      <c r="H566" s="14" cm="1">
        <f t="array" ref="H566:K566">MMULT($C565:$F565,P_Matrix)</f>
        <v>989991.47550870688</v>
      </c>
      <c r="I566" s="14">
        <v>860136.12618868717</v>
      </c>
      <c r="J566" s="14">
        <v>47992.933035798589</v>
      </c>
      <c r="K566" s="14">
        <v>139179.50678970595</v>
      </c>
      <c r="M566" s="12">
        <f>MAX((Inputs!F$25*POWER(1+(Inputs!$C$3-(Inputs!$C$3*(('Steady State'!$A566-1)/Inputs!$C$4))),'Steady State'!$A566-1)),M565)</f>
        <v>48712.842776949758</v>
      </c>
      <c r="N566" s="12">
        <f>MAX((Inputs!G$25*POWER(1+(Inputs!$C$3-(Inputs!$C$3*(('Steady State'!$A566-1)/Inputs!$C$4))),'Steady State'!$A566-1)),N565)</f>
        <v>20876.932618692754</v>
      </c>
      <c r="O566" s="12">
        <v>0</v>
      </c>
      <c r="P566" s="12">
        <v>0</v>
      </c>
    </row>
    <row r="567" spans="1:16" x14ac:dyDescent="0.35">
      <c r="A567">
        <v>565</v>
      </c>
      <c r="C567" s="14">
        <f t="shared" si="33"/>
        <v>1038704.3258571206</v>
      </c>
      <c r="D567" s="14">
        <f t="shared" si="34"/>
        <v>881013.07150320674</v>
      </c>
      <c r="E567" s="14">
        <f t="shared" si="35"/>
        <v>47992.933592409521</v>
      </c>
      <c r="F567" s="14">
        <f t="shared" si="32"/>
        <v>69589.754571740748</v>
      </c>
      <c r="H567" s="14" cm="1">
        <f t="array" ref="H567:K567">MMULT($C566:$F566,P_Matrix)</f>
        <v>989991.48308017082</v>
      </c>
      <c r="I567" s="14">
        <v>860136.13888451399</v>
      </c>
      <c r="J567" s="14">
        <v>47992.933592409521</v>
      </c>
      <c r="K567" s="14">
        <v>139179.50836850345</v>
      </c>
      <c r="M567" s="12">
        <f>MAX((Inputs!F$25*POWER(1+(Inputs!$C$3-(Inputs!$C$3*(('Steady State'!$A567-1)/Inputs!$C$4))),'Steady State'!$A567-1)),M566)</f>
        <v>48712.842776949758</v>
      </c>
      <c r="N567" s="12">
        <f>MAX((Inputs!G$25*POWER(1+(Inputs!$C$3-(Inputs!$C$3*(('Steady State'!$A567-1)/Inputs!$C$4))),'Steady State'!$A567-1)),N566)</f>
        <v>20876.932618692754</v>
      </c>
      <c r="O567" s="12">
        <v>0</v>
      </c>
      <c r="P567" s="12">
        <v>0</v>
      </c>
    </row>
    <row r="568" spans="1:16" x14ac:dyDescent="0.35">
      <c r="A568">
        <v>566</v>
      </c>
      <c r="C568" s="14">
        <f t="shared" si="33"/>
        <v>1038704.3331569161</v>
      </c>
      <c r="D568" s="14">
        <f t="shared" si="34"/>
        <v>881013.08374350192</v>
      </c>
      <c r="E568" s="14">
        <f t="shared" si="35"/>
        <v>47992.934129048983</v>
      </c>
      <c r="F568" s="14">
        <f t="shared" si="32"/>
        <v>69589.755318912212</v>
      </c>
      <c r="H568" s="14" cm="1">
        <f t="array" ref="H568:K568">MMULT($C567:$F567,P_Matrix)</f>
        <v>989991.49037996633</v>
      </c>
      <c r="I568" s="14">
        <v>860136.15112480917</v>
      </c>
      <c r="J568" s="14">
        <v>47992.934129048983</v>
      </c>
      <c r="K568" s="14">
        <v>139179.50989065296</v>
      </c>
      <c r="M568" s="12">
        <f>MAX((Inputs!F$25*POWER(1+(Inputs!$C$3-(Inputs!$C$3*(('Steady State'!$A568-1)/Inputs!$C$4))),'Steady State'!$A568-1)),M567)</f>
        <v>48712.842776949758</v>
      </c>
      <c r="N568" s="12">
        <f>MAX((Inputs!G$25*POWER(1+(Inputs!$C$3-(Inputs!$C$3*(('Steady State'!$A568-1)/Inputs!$C$4))),'Steady State'!$A568-1)),N567)</f>
        <v>20876.932618692754</v>
      </c>
      <c r="O568" s="12">
        <v>0</v>
      </c>
      <c r="P568" s="12">
        <v>0</v>
      </c>
    </row>
    <row r="569" spans="1:16" x14ac:dyDescent="0.35">
      <c r="A569">
        <v>567</v>
      </c>
      <c r="C569" s="14">
        <f t="shared" si="33"/>
        <v>1038704.3401947907</v>
      </c>
      <c r="D569" s="14">
        <f t="shared" si="34"/>
        <v>881013.09554461041</v>
      </c>
      <c r="E569" s="14">
        <f t="shared" si="35"/>
        <v>47992.934646433569</v>
      </c>
      <c r="F569" s="14">
        <f t="shared" si="32"/>
        <v>69589.756039274798</v>
      </c>
      <c r="H569" s="14" cm="1">
        <f t="array" ref="H569:K569">MMULT($C568:$F568,P_Matrix)</f>
        <v>989991.49741784099</v>
      </c>
      <c r="I569" s="14">
        <v>860136.16292591766</v>
      </c>
      <c r="J569" s="14">
        <v>47992.934646433569</v>
      </c>
      <c r="K569" s="14">
        <v>139179.51135818701</v>
      </c>
      <c r="M569" s="12">
        <f>MAX((Inputs!F$25*POWER(1+(Inputs!$C$3-(Inputs!$C$3*(('Steady State'!$A569-1)/Inputs!$C$4))),'Steady State'!$A569-1)),M568)</f>
        <v>48712.842776949758</v>
      </c>
      <c r="N569" s="12">
        <f>MAX((Inputs!G$25*POWER(1+(Inputs!$C$3-(Inputs!$C$3*(('Steady State'!$A569-1)/Inputs!$C$4))),'Steady State'!$A569-1)),N568)</f>
        <v>20876.932618692754</v>
      </c>
      <c r="O569" s="12">
        <v>0</v>
      </c>
      <c r="P569" s="12">
        <v>0</v>
      </c>
    </row>
    <row r="570" spans="1:16" x14ac:dyDescent="0.35">
      <c r="A570">
        <v>568</v>
      </c>
      <c r="C570" s="14">
        <f t="shared" si="33"/>
        <v>1038704.3469801424</v>
      </c>
      <c r="D570" s="14">
        <f t="shared" si="34"/>
        <v>881013.10692229006</v>
      </c>
      <c r="E570" s="14">
        <f t="shared" si="35"/>
        <v>47992.935145254152</v>
      </c>
      <c r="F570" s="14">
        <f t="shared" si="32"/>
        <v>69589.756733790418</v>
      </c>
      <c r="H570" s="14" cm="1">
        <f t="array" ref="H570:K570">MMULT($C569:$F569,P_Matrix)</f>
        <v>989991.50420319266</v>
      </c>
      <c r="I570" s="14">
        <v>860136.1743035973</v>
      </c>
      <c r="J570" s="14">
        <v>47992.935145254152</v>
      </c>
      <c r="K570" s="14">
        <v>139179.51277306522</v>
      </c>
      <c r="M570" s="12">
        <f>MAX((Inputs!F$25*POWER(1+(Inputs!$C$3-(Inputs!$C$3*(('Steady State'!$A570-1)/Inputs!$C$4))),'Steady State'!$A570-1)),M569)</f>
        <v>48712.842776949758</v>
      </c>
      <c r="N570" s="12">
        <f>MAX((Inputs!G$25*POWER(1+(Inputs!$C$3-(Inputs!$C$3*(('Steady State'!$A570-1)/Inputs!$C$4))),'Steady State'!$A570-1)),N569)</f>
        <v>20876.932618692754</v>
      </c>
      <c r="O570" s="12">
        <v>0</v>
      </c>
      <c r="P570" s="12">
        <v>0</v>
      </c>
    </row>
    <row r="571" spans="1:16" x14ac:dyDescent="0.35">
      <c r="A571">
        <v>569</v>
      </c>
      <c r="C571" s="14">
        <f t="shared" si="33"/>
        <v>1038704.3535220319</v>
      </c>
      <c r="D571" s="14">
        <f t="shared" si="34"/>
        <v>881013.11789173388</v>
      </c>
      <c r="E571" s="14">
        <f t="shared" si="35"/>
        <v>47992.935626176812</v>
      </c>
      <c r="F571" s="14">
        <f t="shared" si="32"/>
        <v>69589.757403386495</v>
      </c>
      <c r="H571" s="14" cm="1">
        <f t="array" ref="H571:K571">MMULT($C570:$F570,P_Matrix)</f>
        <v>989991.51074508217</v>
      </c>
      <c r="I571" s="14">
        <v>860136.18527304113</v>
      </c>
      <c r="J571" s="14">
        <v>47992.935626176812</v>
      </c>
      <c r="K571" s="14">
        <v>139179.51413717691</v>
      </c>
      <c r="M571" s="12">
        <f>MAX((Inputs!F$25*POWER(1+(Inputs!$C$3-(Inputs!$C$3*(('Steady State'!$A571-1)/Inputs!$C$4))),'Steady State'!$A571-1)),M570)</f>
        <v>48712.842776949758</v>
      </c>
      <c r="N571" s="12">
        <f>MAX((Inputs!G$25*POWER(1+(Inputs!$C$3-(Inputs!$C$3*(('Steady State'!$A571-1)/Inputs!$C$4))),'Steady State'!$A571-1)),N570)</f>
        <v>20876.932618692754</v>
      </c>
      <c r="O571" s="12">
        <v>0</v>
      </c>
      <c r="P571" s="12">
        <v>0</v>
      </c>
    </row>
    <row r="572" spans="1:16" x14ac:dyDescent="0.35">
      <c r="A572">
        <v>570</v>
      </c>
      <c r="C572" s="14">
        <f t="shared" si="33"/>
        <v>1038704.3598291948</v>
      </c>
      <c r="D572" s="14">
        <f t="shared" si="34"/>
        <v>881013.12846758938</v>
      </c>
      <c r="E572" s="14">
        <f t="shared" si="35"/>
        <v>47992.936089843744</v>
      </c>
      <c r="F572" s="14">
        <f t="shared" si="32"/>
        <v>69589.758048957185</v>
      </c>
      <c r="H572" s="14" cm="1">
        <f t="array" ref="H572:K572">MMULT($C571:$F571,P_Matrix)</f>
        <v>989991.51705224509</v>
      </c>
      <c r="I572" s="14">
        <v>860136.19584889663</v>
      </c>
      <c r="J572" s="14">
        <v>47992.936089843744</v>
      </c>
      <c r="K572" s="14">
        <v>139179.51545234368</v>
      </c>
      <c r="M572" s="12">
        <f>MAX((Inputs!F$25*POWER(1+(Inputs!$C$3-(Inputs!$C$3*(('Steady State'!$A572-1)/Inputs!$C$4))),'Steady State'!$A572-1)),M571)</f>
        <v>48712.842776949758</v>
      </c>
      <c r="N572" s="12">
        <f>MAX((Inputs!G$25*POWER(1+(Inputs!$C$3-(Inputs!$C$3*(('Steady State'!$A572-1)/Inputs!$C$4))),'Steady State'!$A572-1)),N571)</f>
        <v>20876.932618692754</v>
      </c>
      <c r="O572" s="12">
        <v>0</v>
      </c>
      <c r="P572" s="12">
        <v>0</v>
      </c>
    </row>
    <row r="573" spans="1:16" x14ac:dyDescent="0.35">
      <c r="A573">
        <v>571</v>
      </c>
      <c r="C573" s="14">
        <f t="shared" si="33"/>
        <v>1038704.3659100531</v>
      </c>
      <c r="D573" s="14">
        <f t="shared" si="34"/>
        <v>881013.13866397867</v>
      </c>
      <c r="E573" s="14">
        <f t="shared" si="35"/>
        <v>47992.936536874084</v>
      </c>
      <c r="F573" s="14">
        <f t="shared" si="32"/>
        <v>69589.758671364456</v>
      </c>
      <c r="H573" s="14" cm="1">
        <f t="array" ref="H573:K573">MMULT($C572:$F572,P_Matrix)</f>
        <v>989991.52313310339</v>
      </c>
      <c r="I573" s="14">
        <v>860136.20604528592</v>
      </c>
      <c r="J573" s="14">
        <v>47992.936536874084</v>
      </c>
      <c r="K573" s="14">
        <v>139179.51672032164</v>
      </c>
      <c r="M573" s="12">
        <f>MAX((Inputs!F$25*POWER(1+(Inputs!$C$3-(Inputs!$C$3*(('Steady State'!$A573-1)/Inputs!$C$4))),'Steady State'!$A573-1)),M572)</f>
        <v>48712.842776949758</v>
      </c>
      <c r="N573" s="12">
        <f>MAX((Inputs!G$25*POWER(1+(Inputs!$C$3-(Inputs!$C$3*(('Steady State'!$A573-1)/Inputs!$C$4))),'Steady State'!$A573-1)),N572)</f>
        <v>20876.932618692754</v>
      </c>
      <c r="O573" s="12">
        <v>0</v>
      </c>
      <c r="P573" s="12">
        <v>0</v>
      </c>
    </row>
    <row r="574" spans="1:16" x14ac:dyDescent="0.35">
      <c r="A574">
        <v>572</v>
      </c>
      <c r="C574" s="14">
        <f t="shared" si="33"/>
        <v>1038704.3717727269</v>
      </c>
      <c r="D574" s="14">
        <f t="shared" si="34"/>
        <v>881013.14849451731</v>
      </c>
      <c r="E574" s="14">
        <f t="shared" si="35"/>
        <v>47992.936967864764</v>
      </c>
      <c r="F574" s="14">
        <f t="shared" si="32"/>
        <v>69589.759271439456</v>
      </c>
      <c r="H574" s="14" cm="1">
        <f t="array" ref="H574:K574">MMULT($C573:$F573,P_Matrix)</f>
        <v>989991.52899577713</v>
      </c>
      <c r="I574" s="14">
        <v>860136.21587582456</v>
      </c>
      <c r="J574" s="14">
        <v>47992.936967864764</v>
      </c>
      <c r="K574" s="14">
        <v>139179.51794280391</v>
      </c>
      <c r="M574" s="12">
        <f>MAX((Inputs!F$25*POWER(1+(Inputs!$C$3-(Inputs!$C$3*(('Steady State'!$A574-1)/Inputs!$C$4))),'Steady State'!$A574-1)),M573)</f>
        <v>48712.842776949758</v>
      </c>
      <c r="N574" s="12">
        <f>MAX((Inputs!G$25*POWER(1+(Inputs!$C$3-(Inputs!$C$3*(('Steady State'!$A574-1)/Inputs!$C$4))),'Steady State'!$A574-1)),N573)</f>
        <v>20876.932618692754</v>
      </c>
      <c r="O574" s="12">
        <v>0</v>
      </c>
      <c r="P574" s="12">
        <v>0</v>
      </c>
    </row>
    <row r="575" spans="1:16" x14ac:dyDescent="0.35">
      <c r="A575">
        <v>573</v>
      </c>
      <c r="C575" s="14">
        <f t="shared" si="33"/>
        <v>1038704.3774250447</v>
      </c>
      <c r="D575" s="14">
        <f t="shared" si="34"/>
        <v>881013.15797233197</v>
      </c>
      <c r="E575" s="14">
        <f t="shared" si="35"/>
        <v>47992.937383391298</v>
      </c>
      <c r="F575" s="14">
        <f t="shared" si="32"/>
        <v>69589.7598499835</v>
      </c>
      <c r="H575" s="14" cm="1">
        <f t="array" ref="H575:K575">MMULT($C574:$F574,P_Matrix)</f>
        <v>989991.53464809491</v>
      </c>
      <c r="I575" s="14">
        <v>860136.22535363922</v>
      </c>
      <c r="J575" s="14">
        <v>47992.937383391298</v>
      </c>
      <c r="K575" s="14">
        <v>139179.51912142296</v>
      </c>
      <c r="M575" s="12">
        <f>MAX((Inputs!F$25*POWER(1+(Inputs!$C$3-(Inputs!$C$3*(('Steady State'!$A575-1)/Inputs!$C$4))),'Steady State'!$A575-1)),M574)</f>
        <v>48712.842776949758</v>
      </c>
      <c r="N575" s="12">
        <f>MAX((Inputs!G$25*POWER(1+(Inputs!$C$3-(Inputs!$C$3*(('Steady State'!$A575-1)/Inputs!$C$4))),'Steady State'!$A575-1)),N574)</f>
        <v>20876.932618692754</v>
      </c>
      <c r="O575" s="12">
        <v>0</v>
      </c>
      <c r="P575" s="12">
        <v>0</v>
      </c>
    </row>
    <row r="576" spans="1:16" x14ac:dyDescent="0.35">
      <c r="A576">
        <v>574</v>
      </c>
      <c r="C576" s="14">
        <f t="shared" si="33"/>
        <v>1038704.3828745541</v>
      </c>
      <c r="D576" s="14">
        <f t="shared" si="34"/>
        <v>881013.1671100785</v>
      </c>
      <c r="E576" s="14">
        <f t="shared" si="35"/>
        <v>47992.937784008551</v>
      </c>
      <c r="F576" s="14">
        <f t="shared" si="32"/>
        <v>69589.760407769121</v>
      </c>
      <c r="H576" s="14" cm="1">
        <f t="array" ref="H576:K576">MMULT($C575:$F575,P_Matrix)</f>
        <v>989991.54009760439</v>
      </c>
      <c r="I576" s="14">
        <v>860136.23449138575</v>
      </c>
      <c r="J576" s="14">
        <v>47992.937784008551</v>
      </c>
      <c r="K576" s="14">
        <v>139179.52025775262</v>
      </c>
      <c r="M576" s="12">
        <f>MAX((Inputs!F$25*POWER(1+(Inputs!$C$3-(Inputs!$C$3*(('Steady State'!$A576-1)/Inputs!$C$4))),'Steady State'!$A576-1)),M575)</f>
        <v>48712.842776949758</v>
      </c>
      <c r="N576" s="12">
        <f>MAX((Inputs!G$25*POWER(1+(Inputs!$C$3-(Inputs!$C$3*(('Steady State'!$A576-1)/Inputs!$C$4))),'Steady State'!$A576-1)),N575)</f>
        <v>20876.932618692754</v>
      </c>
      <c r="O576" s="12">
        <v>0</v>
      </c>
      <c r="P576" s="12">
        <v>0</v>
      </c>
    </row>
    <row r="577" spans="1:16" x14ac:dyDescent="0.35">
      <c r="A577">
        <v>575</v>
      </c>
      <c r="C577" s="14">
        <f t="shared" si="33"/>
        <v>1038704.3881285322</v>
      </c>
      <c r="D577" s="14">
        <f t="shared" si="34"/>
        <v>881013.17591995886</v>
      </c>
      <c r="E577" s="14">
        <f t="shared" si="35"/>
        <v>47992.938170251458</v>
      </c>
      <c r="F577" s="14">
        <f t="shared" si="32"/>
        <v>69589.760945541115</v>
      </c>
      <c r="H577" s="14" cm="1">
        <f t="array" ref="H577:K577">MMULT($C576:$F576,P_Matrix)</f>
        <v>989991.54535158246</v>
      </c>
      <c r="I577" s="14">
        <v>860136.24330126611</v>
      </c>
      <c r="J577" s="14">
        <v>47992.938170251458</v>
      </c>
      <c r="K577" s="14">
        <v>139179.52135331024</v>
      </c>
      <c r="M577" s="12">
        <f>MAX((Inputs!F$25*POWER(1+(Inputs!$C$3-(Inputs!$C$3*(('Steady State'!$A577-1)/Inputs!$C$4))),'Steady State'!$A577-1)),M576)</f>
        <v>48712.842776949758</v>
      </c>
      <c r="N577" s="12">
        <f>MAX((Inputs!G$25*POWER(1+(Inputs!$C$3-(Inputs!$C$3*(('Steady State'!$A577-1)/Inputs!$C$4))),'Steady State'!$A577-1)),N576)</f>
        <v>20876.932618692754</v>
      </c>
      <c r="O577" s="12">
        <v>0</v>
      </c>
      <c r="P577" s="12">
        <v>0</v>
      </c>
    </row>
    <row r="578" spans="1:16" x14ac:dyDescent="0.35">
      <c r="A578">
        <v>576</v>
      </c>
      <c r="C578" s="14">
        <f t="shared" si="33"/>
        <v>1038704.3931939946</v>
      </c>
      <c r="D578" s="14">
        <f t="shared" si="34"/>
        <v>881013.1844137368</v>
      </c>
      <c r="E578" s="14">
        <f t="shared" si="35"/>
        <v>47992.938542635784</v>
      </c>
      <c r="F578" s="14">
        <f t="shared" si="32"/>
        <v>69589.761464017589</v>
      </c>
      <c r="H578" s="14" cm="1">
        <f t="array" ref="H578:K578">MMULT($C577:$F577,P_Matrix)</f>
        <v>989991.5504170449</v>
      </c>
      <c r="I578" s="14">
        <v>860136.25179504405</v>
      </c>
      <c r="J578" s="14">
        <v>47992.938542635784</v>
      </c>
      <c r="K578" s="14">
        <v>139179.5224095587</v>
      </c>
      <c r="M578" s="12">
        <f>MAX((Inputs!F$25*POWER(1+(Inputs!$C$3-(Inputs!$C$3*(('Steady State'!$A578-1)/Inputs!$C$4))),'Steady State'!$A578-1)),M577)</f>
        <v>48712.842776949758</v>
      </c>
      <c r="N578" s="12">
        <f>MAX((Inputs!G$25*POWER(1+(Inputs!$C$3-(Inputs!$C$3*(('Steady State'!$A578-1)/Inputs!$C$4))),'Steady State'!$A578-1)),N577)</f>
        <v>20876.932618692754</v>
      </c>
      <c r="O578" s="12">
        <v>0</v>
      </c>
      <c r="P578" s="12">
        <v>0</v>
      </c>
    </row>
    <row r="579" spans="1:16" x14ac:dyDescent="0.35">
      <c r="A579">
        <v>577</v>
      </c>
      <c r="C579" s="14">
        <f t="shared" si="33"/>
        <v>1038704.3980777056</v>
      </c>
      <c r="D579" s="14">
        <f t="shared" si="34"/>
        <v>881013.19260275434</v>
      </c>
      <c r="E579" s="14">
        <f t="shared" si="35"/>
        <v>47992.938901658781</v>
      </c>
      <c r="F579" s="14">
        <f t="shared" ref="F579:F642" si="36">(K579+P579)-F578</f>
        <v>69589.761963890895</v>
      </c>
      <c r="H579" s="14" cm="1">
        <f t="array" ref="H579:K579">MMULT($C578:$F578,P_Matrix)</f>
        <v>989991.55530075589</v>
      </c>
      <c r="I579" s="14">
        <v>860136.25998406159</v>
      </c>
      <c r="J579" s="14">
        <v>47992.938901658781</v>
      </c>
      <c r="K579" s="14">
        <v>139179.52342790848</v>
      </c>
      <c r="M579" s="12">
        <f>MAX((Inputs!F$25*POWER(1+(Inputs!$C$3-(Inputs!$C$3*(('Steady State'!$A579-1)/Inputs!$C$4))),'Steady State'!$A579-1)),M578)</f>
        <v>48712.842776949758</v>
      </c>
      <c r="N579" s="12">
        <f>MAX((Inputs!G$25*POWER(1+(Inputs!$C$3-(Inputs!$C$3*(('Steady State'!$A579-1)/Inputs!$C$4))),'Steady State'!$A579-1)),N578)</f>
        <v>20876.932618692754</v>
      </c>
      <c r="O579" s="12">
        <v>0</v>
      </c>
      <c r="P579" s="12">
        <v>0</v>
      </c>
    </row>
    <row r="580" spans="1:16" x14ac:dyDescent="0.35">
      <c r="A580">
        <v>578</v>
      </c>
      <c r="C580" s="14">
        <f t="shared" ref="C580:C643" si="37">H580+M580</f>
        <v>1038704.4027861864</v>
      </c>
      <c r="D580" s="14">
        <f t="shared" ref="D580:D643" si="38">I580+N580</f>
        <v>881013.20049794635</v>
      </c>
      <c r="E580" s="14">
        <f t="shared" ref="E580:E643" si="39">J580+O580</f>
        <v>47992.93924779987</v>
      </c>
      <c r="F580" s="14">
        <f t="shared" si="36"/>
        <v>69589.762445828499</v>
      </c>
      <c r="H580" s="14" cm="1">
        <f t="array" ref="H580:K580">MMULT($C579:$F579,P_Matrix)</f>
        <v>989991.56000923668</v>
      </c>
      <c r="I580" s="14">
        <v>860136.2678792536</v>
      </c>
      <c r="J580" s="14">
        <v>47992.93924779987</v>
      </c>
      <c r="K580" s="14">
        <v>139179.52440971939</v>
      </c>
      <c r="M580" s="12">
        <f>MAX((Inputs!F$25*POWER(1+(Inputs!$C$3-(Inputs!$C$3*(('Steady State'!$A580-1)/Inputs!$C$4))),'Steady State'!$A580-1)),M579)</f>
        <v>48712.842776949758</v>
      </c>
      <c r="N580" s="12">
        <f>MAX((Inputs!G$25*POWER(1+(Inputs!$C$3-(Inputs!$C$3*(('Steady State'!$A580-1)/Inputs!$C$4))),'Steady State'!$A580-1)),N579)</f>
        <v>20876.932618692754</v>
      </c>
      <c r="O580" s="12">
        <v>0</v>
      </c>
      <c r="P580" s="12">
        <v>0</v>
      </c>
    </row>
    <row r="581" spans="1:16" x14ac:dyDescent="0.35">
      <c r="A581">
        <v>579</v>
      </c>
      <c r="C581" s="14">
        <f t="shared" si="37"/>
        <v>1038704.4073257244</v>
      </c>
      <c r="D581" s="14">
        <f t="shared" si="38"/>
        <v>881013.20810985554</v>
      </c>
      <c r="E581" s="14">
        <f t="shared" si="39"/>
        <v>47992.939581521248</v>
      </c>
      <c r="F581" s="14">
        <f t="shared" si="36"/>
        <v>69589.762910473946</v>
      </c>
      <c r="H581" s="14" cm="1">
        <f t="array" ref="H581:K581">MMULT($C580:$F580,P_Matrix)</f>
        <v>989991.56454877462</v>
      </c>
      <c r="I581" s="14">
        <v>860136.27549116279</v>
      </c>
      <c r="J581" s="14">
        <v>47992.939581521248</v>
      </c>
      <c r="K581" s="14">
        <v>139179.52535630245</v>
      </c>
      <c r="M581" s="12">
        <f>MAX((Inputs!F$25*POWER(1+(Inputs!$C$3-(Inputs!$C$3*(('Steady State'!$A581-1)/Inputs!$C$4))),'Steady State'!$A581-1)),M580)</f>
        <v>48712.842776949758</v>
      </c>
      <c r="N581" s="12">
        <f>MAX((Inputs!G$25*POWER(1+(Inputs!$C$3-(Inputs!$C$3*(('Steady State'!$A581-1)/Inputs!$C$4))),'Steady State'!$A581-1)),N580)</f>
        <v>20876.932618692754</v>
      </c>
      <c r="O581" s="12">
        <v>0</v>
      </c>
      <c r="P581" s="12">
        <v>0</v>
      </c>
    </row>
    <row r="582" spans="1:16" x14ac:dyDescent="0.35">
      <c r="A582">
        <v>580</v>
      </c>
      <c r="C582" s="14">
        <f t="shared" si="37"/>
        <v>1038704.4117023813</v>
      </c>
      <c r="D582" s="14">
        <f t="shared" si="38"/>
        <v>881013.21544864611</v>
      </c>
      <c r="E582" s="14">
        <f t="shared" si="39"/>
        <v>47992.939903268547</v>
      </c>
      <c r="F582" s="14">
        <f t="shared" si="36"/>
        <v>69589.76335844773</v>
      </c>
      <c r="H582" s="14" cm="1">
        <f t="array" ref="H582:K582">MMULT($C581:$F581,P_Matrix)</f>
        <v>989991.56892543158</v>
      </c>
      <c r="I582" s="14">
        <v>860136.28282995336</v>
      </c>
      <c r="J582" s="14">
        <v>47992.939903268547</v>
      </c>
      <c r="K582" s="14">
        <v>139179.52626892168</v>
      </c>
      <c r="M582" s="12">
        <f>MAX((Inputs!F$25*POWER(1+(Inputs!$C$3-(Inputs!$C$3*(('Steady State'!$A582-1)/Inputs!$C$4))),'Steady State'!$A582-1)),M581)</f>
        <v>48712.842776949758</v>
      </c>
      <c r="N582" s="12">
        <f>MAX((Inputs!G$25*POWER(1+(Inputs!$C$3-(Inputs!$C$3*(('Steady State'!$A582-1)/Inputs!$C$4))),'Steady State'!$A582-1)),N581)</f>
        <v>20876.932618692754</v>
      </c>
      <c r="O582" s="12">
        <v>0</v>
      </c>
      <c r="P582" s="12">
        <v>0</v>
      </c>
    </row>
    <row r="583" spans="1:16" x14ac:dyDescent="0.35">
      <c r="A583">
        <v>581</v>
      </c>
      <c r="C583" s="14">
        <f t="shared" si="37"/>
        <v>1038704.4159220015</v>
      </c>
      <c r="D583" s="14">
        <f t="shared" si="38"/>
        <v>881013.22252411756</v>
      </c>
      <c r="E583" s="14">
        <f t="shared" si="39"/>
        <v>47992.940213471404</v>
      </c>
      <c r="F583" s="14">
        <f t="shared" si="36"/>
        <v>69589.763790347963</v>
      </c>
      <c r="H583" s="14" cm="1">
        <f t="array" ref="H583:K583">MMULT($C582:$F582,P_Matrix)</f>
        <v>989991.57314505172</v>
      </c>
      <c r="I583" s="14">
        <v>860136.28990542481</v>
      </c>
      <c r="J583" s="14">
        <v>47992.940213471404</v>
      </c>
      <c r="K583" s="14">
        <v>139179.52714879569</v>
      </c>
      <c r="M583" s="12">
        <f>MAX((Inputs!F$25*POWER(1+(Inputs!$C$3-(Inputs!$C$3*(('Steady State'!$A583-1)/Inputs!$C$4))),'Steady State'!$A583-1)),M582)</f>
        <v>48712.842776949758</v>
      </c>
      <c r="N583" s="12">
        <f>MAX((Inputs!G$25*POWER(1+(Inputs!$C$3-(Inputs!$C$3*(('Steady State'!$A583-1)/Inputs!$C$4))),'Steady State'!$A583-1)),N582)</f>
        <v>20876.932618692754</v>
      </c>
      <c r="O583" s="12">
        <v>0</v>
      </c>
      <c r="P583" s="12">
        <v>0</v>
      </c>
    </row>
    <row r="584" spans="1:16" x14ac:dyDescent="0.35">
      <c r="A584">
        <v>582</v>
      </c>
      <c r="C584" s="14">
        <f t="shared" si="37"/>
        <v>1038704.4199902194</v>
      </c>
      <c r="D584" s="14">
        <f t="shared" si="38"/>
        <v>881013.22934571793</v>
      </c>
      <c r="E584" s="14">
        <f t="shared" si="39"/>
        <v>47992.940512544039</v>
      </c>
      <c r="F584" s="14">
        <f t="shared" si="36"/>
        <v>69589.764206751424</v>
      </c>
      <c r="H584" s="14" cm="1">
        <f t="array" ref="H584:K584">MMULT($C583:$F583,P_Matrix)</f>
        <v>989991.57721326966</v>
      </c>
      <c r="I584" s="14">
        <v>860136.29672702518</v>
      </c>
      <c r="J584" s="14">
        <v>47992.940512544039</v>
      </c>
      <c r="K584" s="14">
        <v>139179.52799709939</v>
      </c>
      <c r="M584" s="12">
        <f>MAX((Inputs!F$25*POWER(1+(Inputs!$C$3-(Inputs!$C$3*(('Steady State'!$A584-1)/Inputs!$C$4))),'Steady State'!$A584-1)),M583)</f>
        <v>48712.842776949758</v>
      </c>
      <c r="N584" s="12">
        <f>MAX((Inputs!G$25*POWER(1+(Inputs!$C$3-(Inputs!$C$3*(('Steady State'!$A584-1)/Inputs!$C$4))),'Steady State'!$A584-1)),N583)</f>
        <v>20876.932618692754</v>
      </c>
      <c r="O584" s="12">
        <v>0</v>
      </c>
      <c r="P584" s="12">
        <v>0</v>
      </c>
    </row>
    <row r="585" spans="1:16" x14ac:dyDescent="0.35">
      <c r="A585">
        <v>583</v>
      </c>
      <c r="C585" s="14">
        <f t="shared" si="37"/>
        <v>1038704.4239124676</v>
      </c>
      <c r="D585" s="14">
        <f t="shared" si="38"/>
        <v>881013.23592255637</v>
      </c>
      <c r="E585" s="14">
        <f t="shared" si="39"/>
        <v>47992.940800885801</v>
      </c>
      <c r="F585" s="14">
        <f t="shared" si="36"/>
        <v>69589.764608214115</v>
      </c>
      <c r="H585" s="14" cm="1">
        <f t="array" ref="H585:K585">MMULT($C584:$F584,P_Matrix)</f>
        <v>989991.5811355178</v>
      </c>
      <c r="I585" s="14">
        <v>860136.30330386362</v>
      </c>
      <c r="J585" s="14">
        <v>47992.940800885801</v>
      </c>
      <c r="K585" s="14">
        <v>139179.52881496554</v>
      </c>
      <c r="M585" s="12">
        <f>MAX((Inputs!F$25*POWER(1+(Inputs!$C$3-(Inputs!$C$3*(('Steady State'!$A585-1)/Inputs!$C$4))),'Steady State'!$A585-1)),M584)</f>
        <v>48712.842776949758</v>
      </c>
      <c r="N585" s="12">
        <f>MAX((Inputs!G$25*POWER(1+(Inputs!$C$3-(Inputs!$C$3*(('Steady State'!$A585-1)/Inputs!$C$4))),'Steady State'!$A585-1)),N584)</f>
        <v>20876.932618692754</v>
      </c>
      <c r="O585" s="12">
        <v>0</v>
      </c>
      <c r="P585" s="12">
        <v>0</v>
      </c>
    </row>
    <row r="586" spans="1:16" x14ac:dyDescent="0.35">
      <c r="A586">
        <v>584</v>
      </c>
      <c r="C586" s="14">
        <f t="shared" si="37"/>
        <v>1038704.4276939833</v>
      </c>
      <c r="D586" s="14">
        <f t="shared" si="38"/>
        <v>881013.2422634149</v>
      </c>
      <c r="E586" s="14">
        <f t="shared" si="39"/>
        <v>47992.941078881719</v>
      </c>
      <c r="F586" s="14">
        <f t="shared" si="36"/>
        <v>69589.764995272184</v>
      </c>
      <c r="H586" s="14" cm="1">
        <f t="array" ref="H586:K586">MMULT($C585:$F585,P_Matrix)</f>
        <v>989991.58491703356</v>
      </c>
      <c r="I586" s="14">
        <v>860136.30964472215</v>
      </c>
      <c r="J586" s="14">
        <v>47992.941078881719</v>
      </c>
      <c r="K586" s="14">
        <v>139179.5296034863</v>
      </c>
      <c r="M586" s="12">
        <f>MAX((Inputs!F$25*POWER(1+(Inputs!$C$3-(Inputs!$C$3*(('Steady State'!$A586-1)/Inputs!$C$4))),'Steady State'!$A586-1)),M585)</f>
        <v>48712.842776949758</v>
      </c>
      <c r="N586" s="12">
        <f>MAX((Inputs!G$25*POWER(1+(Inputs!$C$3-(Inputs!$C$3*(('Steady State'!$A586-1)/Inputs!$C$4))),'Steady State'!$A586-1)),N585)</f>
        <v>20876.932618692754</v>
      </c>
      <c r="O586" s="12">
        <v>0</v>
      </c>
      <c r="P586" s="12">
        <v>0</v>
      </c>
    </row>
    <row r="587" spans="1:16" x14ac:dyDescent="0.35">
      <c r="A587">
        <v>585</v>
      </c>
      <c r="C587" s="14">
        <f t="shared" si="37"/>
        <v>1038704.4313398163</v>
      </c>
      <c r="D587" s="14">
        <f t="shared" si="38"/>
        <v>881013.24837676052</v>
      </c>
      <c r="E587" s="14">
        <f t="shared" si="39"/>
        <v>47992.941346903011</v>
      </c>
      <c r="F587" s="14">
        <f t="shared" si="36"/>
        <v>69589.765368442371</v>
      </c>
      <c r="H587" s="14" cm="1">
        <f t="array" ref="H587:K587">MMULT($C586:$F586,P_Matrix)</f>
        <v>989991.58856286656</v>
      </c>
      <c r="I587" s="14">
        <v>860136.31575806777</v>
      </c>
      <c r="J587" s="14">
        <v>47992.941346903011</v>
      </c>
      <c r="K587" s="14">
        <v>139179.53036371456</v>
      </c>
      <c r="M587" s="12">
        <f>MAX((Inputs!F$25*POWER(1+(Inputs!$C$3-(Inputs!$C$3*(('Steady State'!$A587-1)/Inputs!$C$4))),'Steady State'!$A587-1)),M586)</f>
        <v>48712.842776949758</v>
      </c>
      <c r="N587" s="12">
        <f>MAX((Inputs!G$25*POWER(1+(Inputs!$C$3-(Inputs!$C$3*(('Steady State'!$A587-1)/Inputs!$C$4))),'Steady State'!$A587-1)),N586)</f>
        <v>20876.932618692754</v>
      </c>
      <c r="O587" s="12">
        <v>0</v>
      </c>
      <c r="P587" s="12">
        <v>0</v>
      </c>
    </row>
    <row r="588" spans="1:16" x14ac:dyDescent="0.35">
      <c r="A588">
        <v>586</v>
      </c>
      <c r="C588" s="14">
        <f t="shared" si="37"/>
        <v>1038704.4348548349</v>
      </c>
      <c r="D588" s="14">
        <f t="shared" si="38"/>
        <v>881013.25427075673</v>
      </c>
      <c r="E588" s="14">
        <f t="shared" si="39"/>
        <v>47992.941605307569</v>
      </c>
      <c r="F588" s="14">
        <f t="shared" si="36"/>
        <v>69589.76572822305</v>
      </c>
      <c r="H588" s="14" cm="1">
        <f t="array" ref="H588:K588">MMULT($C587:$F587,P_Matrix)</f>
        <v>989991.59207788517</v>
      </c>
      <c r="I588" s="14">
        <v>860136.32165206398</v>
      </c>
      <c r="J588" s="14">
        <v>47992.941605307569</v>
      </c>
      <c r="K588" s="14">
        <v>139179.53109666542</v>
      </c>
      <c r="M588" s="12">
        <f>MAX((Inputs!F$25*POWER(1+(Inputs!$C$3-(Inputs!$C$3*(('Steady State'!$A588-1)/Inputs!$C$4))),'Steady State'!$A588-1)),M587)</f>
        <v>48712.842776949758</v>
      </c>
      <c r="N588" s="12">
        <f>MAX((Inputs!G$25*POWER(1+(Inputs!$C$3-(Inputs!$C$3*(('Steady State'!$A588-1)/Inputs!$C$4))),'Steady State'!$A588-1)),N587)</f>
        <v>20876.932618692754</v>
      </c>
      <c r="O588" s="12">
        <v>0</v>
      </c>
      <c r="P588" s="12">
        <v>0</v>
      </c>
    </row>
    <row r="589" spans="1:16" x14ac:dyDescent="0.35">
      <c r="A589">
        <v>587</v>
      </c>
      <c r="C589" s="14">
        <f t="shared" si="37"/>
        <v>1038704.4382437329</v>
      </c>
      <c r="D589" s="14">
        <f t="shared" si="38"/>
        <v>881013.25995327358</v>
      </c>
      <c r="E589" s="14">
        <f t="shared" si="39"/>
        <v>47992.941854440462</v>
      </c>
      <c r="F589" s="14">
        <f t="shared" si="36"/>
        <v>69589.766075094638</v>
      </c>
      <c r="H589" s="14" cm="1">
        <f t="array" ref="H589:K589">MMULT($C588:$F588,P_Matrix)</f>
        <v>989991.59546678315</v>
      </c>
      <c r="I589" s="14">
        <v>860136.32733458083</v>
      </c>
      <c r="J589" s="14">
        <v>47992.941854440462</v>
      </c>
      <c r="K589" s="14">
        <v>139179.53180331769</v>
      </c>
      <c r="M589" s="12">
        <f>MAX((Inputs!F$25*POWER(1+(Inputs!$C$3-(Inputs!$C$3*(('Steady State'!$A589-1)/Inputs!$C$4))),'Steady State'!$A589-1)),M588)</f>
        <v>48712.842776949758</v>
      </c>
      <c r="N589" s="12">
        <f>MAX((Inputs!G$25*POWER(1+(Inputs!$C$3-(Inputs!$C$3*(('Steady State'!$A589-1)/Inputs!$C$4))),'Steady State'!$A589-1)),N588)</f>
        <v>20876.932618692754</v>
      </c>
      <c r="O589" s="12">
        <v>0</v>
      </c>
      <c r="P589" s="12">
        <v>0</v>
      </c>
    </row>
    <row r="590" spans="1:16" x14ac:dyDescent="0.35">
      <c r="A590">
        <v>588</v>
      </c>
      <c r="C590" s="14">
        <f t="shared" si="37"/>
        <v>1038704.4415110353</v>
      </c>
      <c r="D590" s="14">
        <f t="shared" si="38"/>
        <v>881013.26543189923</v>
      </c>
      <c r="E590" s="14">
        <f t="shared" si="39"/>
        <v>47992.942094634345</v>
      </c>
      <c r="F590" s="14">
        <f t="shared" si="36"/>
        <v>69589.766409520293</v>
      </c>
      <c r="H590" s="14" cm="1">
        <f t="array" ref="H590:K590">MMULT($C589:$F589,P_Matrix)</f>
        <v>989991.59873408556</v>
      </c>
      <c r="I590" s="14">
        <v>860136.33281320648</v>
      </c>
      <c r="J590" s="14">
        <v>47992.942094634345</v>
      </c>
      <c r="K590" s="14">
        <v>139179.53248461493</v>
      </c>
      <c r="M590" s="12">
        <f>MAX((Inputs!F$25*POWER(1+(Inputs!$C$3-(Inputs!$C$3*(('Steady State'!$A590-1)/Inputs!$C$4))),'Steady State'!$A590-1)),M589)</f>
        <v>48712.842776949758</v>
      </c>
      <c r="N590" s="12">
        <f>MAX((Inputs!G$25*POWER(1+(Inputs!$C$3-(Inputs!$C$3*(('Steady State'!$A590-1)/Inputs!$C$4))),'Steady State'!$A590-1)),N589)</f>
        <v>20876.932618692754</v>
      </c>
      <c r="O590" s="12">
        <v>0</v>
      </c>
      <c r="P590" s="12">
        <v>0</v>
      </c>
    </row>
    <row r="591" spans="1:16" x14ac:dyDescent="0.35">
      <c r="A591">
        <v>589</v>
      </c>
      <c r="C591" s="14">
        <f t="shared" si="37"/>
        <v>1038704.4446611053</v>
      </c>
      <c r="D591" s="14">
        <f t="shared" si="38"/>
        <v>881013.27071394946</v>
      </c>
      <c r="E591" s="14">
        <f t="shared" si="39"/>
        <v>47992.942326209952</v>
      </c>
      <c r="F591" s="14">
        <f t="shared" si="36"/>
        <v>69589.766731946613</v>
      </c>
      <c r="H591" s="14" cm="1">
        <f t="array" ref="H591:K591">MMULT($C590:$F590,P_Matrix)</f>
        <v>989991.60188415553</v>
      </c>
      <c r="I591" s="14">
        <v>860136.33809525671</v>
      </c>
      <c r="J591" s="14">
        <v>47992.942326209952</v>
      </c>
      <c r="K591" s="14">
        <v>139179.53314146691</v>
      </c>
      <c r="M591" s="12">
        <f>MAX((Inputs!F$25*POWER(1+(Inputs!$C$3-(Inputs!$C$3*(('Steady State'!$A591-1)/Inputs!$C$4))),'Steady State'!$A591-1)),M590)</f>
        <v>48712.842776949758</v>
      </c>
      <c r="N591" s="12">
        <f>MAX((Inputs!G$25*POWER(1+(Inputs!$C$3-(Inputs!$C$3*(('Steady State'!$A591-1)/Inputs!$C$4))),'Steady State'!$A591-1)),N590)</f>
        <v>20876.932618692754</v>
      </c>
      <c r="O591" s="12">
        <v>0</v>
      </c>
      <c r="P591" s="12">
        <v>0</v>
      </c>
    </row>
    <row r="592" spans="1:16" x14ac:dyDescent="0.35">
      <c r="A592">
        <v>590</v>
      </c>
      <c r="C592" s="14">
        <f t="shared" si="37"/>
        <v>1038704.4476981491</v>
      </c>
      <c r="D592" s="14">
        <f t="shared" si="38"/>
        <v>881013.27580647741</v>
      </c>
      <c r="E592" s="14">
        <f t="shared" si="39"/>
        <v>47992.942549476516</v>
      </c>
      <c r="F592" s="14">
        <f t="shared" si="36"/>
        <v>69589.767042804131</v>
      </c>
      <c r="H592" s="14" cm="1">
        <f t="array" ref="H592:K592">MMULT($C591:$F591,P_Matrix)</f>
        <v>989991.60492119938</v>
      </c>
      <c r="I592" s="14">
        <v>860136.34318778466</v>
      </c>
      <c r="J592" s="14">
        <v>47992.942549476516</v>
      </c>
      <c r="K592" s="14">
        <v>139179.53377475074</v>
      </c>
      <c r="M592" s="12">
        <f>MAX((Inputs!F$25*POWER(1+(Inputs!$C$3-(Inputs!$C$3*(('Steady State'!$A592-1)/Inputs!$C$4))),'Steady State'!$A592-1)),M591)</f>
        <v>48712.842776949758</v>
      </c>
      <c r="N592" s="12">
        <f>MAX((Inputs!G$25*POWER(1+(Inputs!$C$3-(Inputs!$C$3*(('Steady State'!$A592-1)/Inputs!$C$4))),'Steady State'!$A592-1)),N591)</f>
        <v>20876.932618692754</v>
      </c>
      <c r="O592" s="12">
        <v>0</v>
      </c>
      <c r="P592" s="12">
        <v>0</v>
      </c>
    </row>
    <row r="593" spans="1:16" x14ac:dyDescent="0.35">
      <c r="A593">
        <v>591</v>
      </c>
      <c r="C593" s="14">
        <f t="shared" si="37"/>
        <v>1038704.4506262223</v>
      </c>
      <c r="D593" s="14">
        <f t="shared" si="38"/>
        <v>881013.28071628313</v>
      </c>
      <c r="E593" s="14">
        <f t="shared" si="39"/>
        <v>47992.942764732172</v>
      </c>
      <c r="F593" s="14">
        <f t="shared" si="36"/>
        <v>69589.767342507927</v>
      </c>
      <c r="H593" s="14" cm="1">
        <f t="array" ref="H593:K593">MMULT($C592:$F592,P_Matrix)</f>
        <v>989991.60784927255</v>
      </c>
      <c r="I593" s="14">
        <v>860136.34809759038</v>
      </c>
      <c r="J593" s="14">
        <v>47992.942764732172</v>
      </c>
      <c r="K593" s="14">
        <v>139179.53438531206</v>
      </c>
      <c r="M593" s="12">
        <f>MAX((Inputs!F$25*POWER(1+(Inputs!$C$3-(Inputs!$C$3*(('Steady State'!$A593-1)/Inputs!$C$4))),'Steady State'!$A593-1)),M592)</f>
        <v>48712.842776949758</v>
      </c>
      <c r="N593" s="12">
        <f>MAX((Inputs!G$25*POWER(1+(Inputs!$C$3-(Inputs!$C$3*(('Steady State'!$A593-1)/Inputs!$C$4))),'Steady State'!$A593-1)),N592)</f>
        <v>20876.932618692754</v>
      </c>
      <c r="O593" s="12">
        <v>0</v>
      </c>
      <c r="P593" s="12">
        <v>0</v>
      </c>
    </row>
    <row r="594" spans="1:16" x14ac:dyDescent="0.35">
      <c r="A594">
        <v>592</v>
      </c>
      <c r="C594" s="14">
        <f t="shared" si="37"/>
        <v>1038704.4534492347</v>
      </c>
      <c r="D594" s="14">
        <f t="shared" si="38"/>
        <v>881013.28544992267</v>
      </c>
      <c r="E594" s="14">
        <f t="shared" si="39"/>
        <v>47992.942972264354</v>
      </c>
      <c r="F594" s="14">
        <f t="shared" si="36"/>
        <v>69589.767631458206</v>
      </c>
      <c r="H594" s="14" cm="1">
        <f t="array" ref="H594:K594">MMULT($C593:$F593,P_Matrix)</f>
        <v>989991.61067228497</v>
      </c>
      <c r="I594" s="14">
        <v>860136.35283122992</v>
      </c>
      <c r="J594" s="14">
        <v>47992.942972264354</v>
      </c>
      <c r="K594" s="14">
        <v>139179.53497396613</v>
      </c>
      <c r="M594" s="12">
        <f>MAX((Inputs!F$25*POWER(1+(Inputs!$C$3-(Inputs!$C$3*(('Steady State'!$A594-1)/Inputs!$C$4))),'Steady State'!$A594-1)),M593)</f>
        <v>48712.842776949758</v>
      </c>
      <c r="N594" s="12">
        <f>MAX((Inputs!G$25*POWER(1+(Inputs!$C$3-(Inputs!$C$3*(('Steady State'!$A594-1)/Inputs!$C$4))),'Steady State'!$A594-1)),N593)</f>
        <v>20876.932618692754</v>
      </c>
      <c r="O594" s="12">
        <v>0</v>
      </c>
      <c r="P594" s="12">
        <v>0</v>
      </c>
    </row>
    <row r="595" spans="1:16" x14ac:dyDescent="0.35">
      <c r="A595">
        <v>593</v>
      </c>
      <c r="C595" s="14">
        <f t="shared" si="37"/>
        <v>1038704.456170956</v>
      </c>
      <c r="D595" s="14">
        <f t="shared" si="38"/>
        <v>881013.29001371725</v>
      </c>
      <c r="E595" s="14">
        <f t="shared" si="39"/>
        <v>47992.943172350191</v>
      </c>
      <c r="F595" s="14">
        <f t="shared" si="36"/>
        <v>69589.767910040828</v>
      </c>
      <c r="H595" s="14" cm="1">
        <f t="array" ref="H595:K595">MMULT($C594:$F594,P_Matrix)</f>
        <v>989991.61339400627</v>
      </c>
      <c r="I595" s="14">
        <v>860136.3573950245</v>
      </c>
      <c r="J595" s="14">
        <v>47992.943172350191</v>
      </c>
      <c r="K595" s="14">
        <v>139179.53554149903</v>
      </c>
      <c r="M595" s="12">
        <f>MAX((Inputs!F$25*POWER(1+(Inputs!$C$3-(Inputs!$C$3*(('Steady State'!$A595-1)/Inputs!$C$4))),'Steady State'!$A595-1)),M594)</f>
        <v>48712.842776949758</v>
      </c>
      <c r="N595" s="12">
        <f>MAX((Inputs!G$25*POWER(1+(Inputs!$C$3-(Inputs!$C$3*(('Steady State'!$A595-1)/Inputs!$C$4))),'Steady State'!$A595-1)),N594)</f>
        <v>20876.932618692754</v>
      </c>
      <c r="O595" s="12">
        <v>0</v>
      </c>
      <c r="P595" s="12">
        <v>0</v>
      </c>
    </row>
    <row r="596" spans="1:16" x14ac:dyDescent="0.35">
      <c r="A596">
        <v>594</v>
      </c>
      <c r="C596" s="14">
        <f t="shared" si="37"/>
        <v>1038704.4587950206</v>
      </c>
      <c r="D596" s="14">
        <f t="shared" si="38"/>
        <v>881013.29441376077</v>
      </c>
      <c r="E596" s="14">
        <f t="shared" si="39"/>
        <v>47992.94336525684</v>
      </c>
      <c r="F596" s="14">
        <f t="shared" si="36"/>
        <v>69589.768178627739</v>
      </c>
      <c r="H596" s="14" cm="1">
        <f t="array" ref="H596:K596">MMULT($C595:$F595,P_Matrix)</f>
        <v>989991.61601807084</v>
      </c>
      <c r="I596" s="14">
        <v>860136.36179506802</v>
      </c>
      <c r="J596" s="14">
        <v>47992.94336525684</v>
      </c>
      <c r="K596" s="14">
        <v>139179.53608866857</v>
      </c>
      <c r="M596" s="12">
        <f>MAX((Inputs!F$25*POWER(1+(Inputs!$C$3-(Inputs!$C$3*(('Steady State'!$A596-1)/Inputs!$C$4))),'Steady State'!$A596-1)),M595)</f>
        <v>48712.842776949758</v>
      </c>
      <c r="N596" s="12">
        <f>MAX((Inputs!G$25*POWER(1+(Inputs!$C$3-(Inputs!$C$3*(('Steady State'!$A596-1)/Inputs!$C$4))),'Steady State'!$A596-1)),N595)</f>
        <v>20876.932618692754</v>
      </c>
      <c r="O596" s="12">
        <v>0</v>
      </c>
      <c r="P596" s="12">
        <v>0</v>
      </c>
    </row>
    <row r="597" spans="1:16" x14ac:dyDescent="0.35">
      <c r="A597">
        <v>595</v>
      </c>
      <c r="C597" s="14">
        <f t="shared" si="37"/>
        <v>1038704.4613249323</v>
      </c>
      <c r="D597" s="14">
        <f t="shared" si="38"/>
        <v>881013.29865592869</v>
      </c>
      <c r="E597" s="14">
        <f t="shared" si="39"/>
        <v>47992.943551241915</v>
      </c>
      <c r="F597" s="14">
        <f t="shared" si="36"/>
        <v>69589.768437577644</v>
      </c>
      <c r="H597" s="14" cm="1">
        <f t="array" ref="H597:K597">MMULT($C596:$F596,P_Matrix)</f>
        <v>989991.61854798254</v>
      </c>
      <c r="I597" s="14">
        <v>860136.36603723594</v>
      </c>
      <c r="J597" s="14">
        <v>47992.943551241915</v>
      </c>
      <c r="K597" s="14">
        <v>139179.53661620538</v>
      </c>
      <c r="M597" s="12">
        <f>MAX((Inputs!F$25*POWER(1+(Inputs!$C$3-(Inputs!$C$3*(('Steady State'!$A597-1)/Inputs!$C$4))),'Steady State'!$A597-1)),M596)</f>
        <v>48712.842776949758</v>
      </c>
      <c r="N597" s="12">
        <f>MAX((Inputs!G$25*POWER(1+(Inputs!$C$3-(Inputs!$C$3*(('Steady State'!$A597-1)/Inputs!$C$4))),'Steady State'!$A597-1)),N596)</f>
        <v>20876.932618692754</v>
      </c>
      <c r="O597" s="12">
        <v>0</v>
      </c>
      <c r="P597" s="12">
        <v>0</v>
      </c>
    </row>
    <row r="598" spans="1:16" x14ac:dyDescent="0.35">
      <c r="A598">
        <v>596</v>
      </c>
      <c r="C598" s="14">
        <f t="shared" si="37"/>
        <v>1038704.4637640696</v>
      </c>
      <c r="D598" s="14">
        <f t="shared" si="38"/>
        <v>881013.30274588568</v>
      </c>
      <c r="E598" s="14">
        <f t="shared" si="39"/>
        <v>47992.943730553758</v>
      </c>
      <c r="F598" s="14">
        <f t="shared" si="36"/>
        <v>69589.768687236297</v>
      </c>
      <c r="H598" s="14" cm="1">
        <f t="array" ref="H598:K598">MMULT($C597:$F597,P_Matrix)</f>
        <v>989991.62098711985</v>
      </c>
      <c r="I598" s="14">
        <v>860136.37012719293</v>
      </c>
      <c r="J598" s="14">
        <v>47992.943730553758</v>
      </c>
      <c r="K598" s="14">
        <v>139179.53712481394</v>
      </c>
      <c r="M598" s="12">
        <f>MAX((Inputs!F$25*POWER(1+(Inputs!$C$3-(Inputs!$C$3*(('Steady State'!$A598-1)/Inputs!$C$4))),'Steady State'!$A598-1)),M597)</f>
        <v>48712.842776949758</v>
      </c>
      <c r="N598" s="12">
        <f>MAX((Inputs!G$25*POWER(1+(Inputs!$C$3-(Inputs!$C$3*(('Steady State'!$A598-1)/Inputs!$C$4))),'Steady State'!$A598-1)),N597)</f>
        <v>20876.932618692754</v>
      </c>
      <c r="O598" s="12">
        <v>0</v>
      </c>
      <c r="P598" s="12">
        <v>0</v>
      </c>
    </row>
    <row r="599" spans="1:16" x14ac:dyDescent="0.35">
      <c r="A599">
        <v>597</v>
      </c>
      <c r="C599" s="14">
        <f t="shared" si="37"/>
        <v>1038704.4661156894</v>
      </c>
      <c r="D599" s="14">
        <f t="shared" si="38"/>
        <v>881013.30668909324</v>
      </c>
      <c r="E599" s="14">
        <f t="shared" si="39"/>
        <v>47992.943903431806</v>
      </c>
      <c r="F599" s="14">
        <f t="shared" si="36"/>
        <v>69589.768927937082</v>
      </c>
      <c r="H599" s="14" cm="1">
        <f t="array" ref="H599:K599">MMULT($C598:$F598,P_Matrix)</f>
        <v>989991.62333873962</v>
      </c>
      <c r="I599" s="14">
        <v>860136.37407040049</v>
      </c>
      <c r="J599" s="14">
        <v>47992.943903431806</v>
      </c>
      <c r="K599" s="14">
        <v>139179.53761517338</v>
      </c>
      <c r="M599" s="12">
        <f>MAX((Inputs!F$25*POWER(1+(Inputs!$C$3-(Inputs!$C$3*(('Steady State'!$A599-1)/Inputs!$C$4))),'Steady State'!$A599-1)),M598)</f>
        <v>48712.842776949758</v>
      </c>
      <c r="N599" s="12">
        <f>MAX((Inputs!G$25*POWER(1+(Inputs!$C$3-(Inputs!$C$3*(('Steady State'!$A599-1)/Inputs!$C$4))),'Steady State'!$A599-1)),N598)</f>
        <v>20876.932618692754</v>
      </c>
      <c r="O599" s="12">
        <v>0</v>
      </c>
      <c r="P599" s="12">
        <v>0</v>
      </c>
    </row>
    <row r="600" spans="1:16" x14ac:dyDescent="0.35">
      <c r="A600">
        <v>598</v>
      </c>
      <c r="C600" s="14">
        <f t="shared" si="37"/>
        <v>1038704.4683829317</v>
      </c>
      <c r="D600" s="14">
        <f t="shared" si="38"/>
        <v>881013.3104908166</v>
      </c>
      <c r="E600" s="14">
        <f t="shared" si="39"/>
        <v>47992.944070106911</v>
      </c>
      <c r="F600" s="14">
        <f t="shared" si="36"/>
        <v>69589.769160001422</v>
      </c>
      <c r="H600" s="14" cm="1">
        <f t="array" ref="H600:K600">MMULT($C599:$F599,P_Matrix)</f>
        <v>989991.62560598191</v>
      </c>
      <c r="I600" s="14">
        <v>860136.37787212385</v>
      </c>
      <c r="J600" s="14">
        <v>47992.944070106911</v>
      </c>
      <c r="K600" s="14">
        <v>139179.5380879385</v>
      </c>
      <c r="M600" s="12">
        <f>MAX((Inputs!F$25*POWER(1+(Inputs!$C$3-(Inputs!$C$3*(('Steady State'!$A600-1)/Inputs!$C$4))),'Steady State'!$A600-1)),M599)</f>
        <v>48712.842776949758</v>
      </c>
      <c r="N600" s="12">
        <f>MAX((Inputs!G$25*POWER(1+(Inputs!$C$3-(Inputs!$C$3*(('Steady State'!$A600-1)/Inputs!$C$4))),'Steady State'!$A600-1)),N599)</f>
        <v>20876.932618692754</v>
      </c>
      <c r="O600" s="12">
        <v>0</v>
      </c>
      <c r="P600" s="12">
        <v>0</v>
      </c>
    </row>
    <row r="601" spans="1:16" x14ac:dyDescent="0.35">
      <c r="A601">
        <v>599</v>
      </c>
      <c r="C601" s="14">
        <f t="shared" si="37"/>
        <v>1038704.4705688243</v>
      </c>
      <c r="D601" s="14">
        <f t="shared" si="38"/>
        <v>881013.31415613252</v>
      </c>
      <c r="E601" s="14">
        <f t="shared" si="39"/>
        <v>47992.94423080163</v>
      </c>
      <c r="F601" s="14">
        <f t="shared" si="36"/>
        <v>69589.769383739156</v>
      </c>
      <c r="H601" s="14" cm="1">
        <f t="array" ref="H601:K601">MMULT($C600:$F600,P_Matrix)</f>
        <v>989991.62779187458</v>
      </c>
      <c r="I601" s="14">
        <v>860136.38153743977</v>
      </c>
      <c r="J601" s="14">
        <v>47992.94423080163</v>
      </c>
      <c r="K601" s="14">
        <v>139179.53854374058</v>
      </c>
      <c r="M601" s="12">
        <f>MAX((Inputs!F$25*POWER(1+(Inputs!$C$3-(Inputs!$C$3*(('Steady State'!$A601-1)/Inputs!$C$4))),'Steady State'!$A601-1)),M600)</f>
        <v>48712.842776949758</v>
      </c>
      <c r="N601" s="12">
        <f>MAX((Inputs!G$25*POWER(1+(Inputs!$C$3-(Inputs!$C$3*(('Steady State'!$A601-1)/Inputs!$C$4))),'Steady State'!$A601-1)),N600)</f>
        <v>20876.932618692754</v>
      </c>
      <c r="O601" s="12">
        <v>0</v>
      </c>
      <c r="P601" s="12">
        <v>0</v>
      </c>
    </row>
    <row r="602" spans="1:16" x14ac:dyDescent="0.35">
      <c r="A602">
        <v>600</v>
      </c>
      <c r="C602" s="14">
        <f t="shared" si="37"/>
        <v>1038704.472676286</v>
      </c>
      <c r="D602" s="14">
        <f t="shared" si="38"/>
        <v>881013.31768993509</v>
      </c>
      <c r="E602" s="14">
        <f t="shared" si="39"/>
        <v>47992.944385730545</v>
      </c>
      <c r="F602" s="14">
        <f t="shared" si="36"/>
        <v>69589.769599449122</v>
      </c>
      <c r="H602" s="14" cm="1">
        <f t="array" ref="H602:K602">MMULT($C601:$F601,P_Matrix)</f>
        <v>989991.62989933626</v>
      </c>
      <c r="I602" s="14">
        <v>860136.38507124234</v>
      </c>
      <c r="J602" s="14">
        <v>47992.944385730545</v>
      </c>
      <c r="K602" s="14">
        <v>139179.53898318828</v>
      </c>
      <c r="M602" s="12">
        <f>MAX((Inputs!F$25*POWER(1+(Inputs!$C$3-(Inputs!$C$3*(('Steady State'!$A602-1)/Inputs!$C$4))),'Steady State'!$A602-1)),M601)</f>
        <v>48712.842776949758</v>
      </c>
      <c r="N602" s="12">
        <f>MAX((Inputs!G$25*POWER(1+(Inputs!$C$3-(Inputs!$C$3*(('Steady State'!$A602-1)/Inputs!$C$4))),'Steady State'!$A602-1)),N601)</f>
        <v>20876.932618692754</v>
      </c>
      <c r="O602" s="12">
        <v>0</v>
      </c>
      <c r="P602" s="12">
        <v>0</v>
      </c>
    </row>
    <row r="603" spans="1:16" x14ac:dyDescent="0.35">
      <c r="A603">
        <v>601</v>
      </c>
      <c r="C603" s="14">
        <f t="shared" si="37"/>
        <v>1038704.474708131</v>
      </c>
      <c r="D603" s="14">
        <f t="shared" si="38"/>
        <v>881013.32109694334</v>
      </c>
      <c r="E603" s="14">
        <f t="shared" si="39"/>
        <v>47992.944535100542</v>
      </c>
      <c r="F603" s="14">
        <f t="shared" si="36"/>
        <v>69589.769807419274</v>
      </c>
      <c r="H603" s="14" cm="1">
        <f t="array" ref="H603:K603">MMULT($C602:$F602,P_Matrix)</f>
        <v>989991.6319311813</v>
      </c>
      <c r="I603" s="14">
        <v>860136.38847825059</v>
      </c>
      <c r="J603" s="14">
        <v>47992.944535100542</v>
      </c>
      <c r="K603" s="14">
        <v>139179.5394068684</v>
      </c>
      <c r="M603" s="12">
        <f>MAX((Inputs!F$25*POWER(1+(Inputs!$C$3-(Inputs!$C$3*(('Steady State'!$A603-1)/Inputs!$C$4))),'Steady State'!$A603-1)),M602)</f>
        <v>48712.842776949758</v>
      </c>
      <c r="N603" s="12">
        <f>MAX((Inputs!G$25*POWER(1+(Inputs!$C$3-(Inputs!$C$3*(('Steady State'!$A603-1)/Inputs!$C$4))),'Steady State'!$A603-1)),N602)</f>
        <v>20876.932618692754</v>
      </c>
      <c r="O603" s="12">
        <v>0</v>
      </c>
      <c r="P603" s="12">
        <v>0</v>
      </c>
    </row>
    <row r="604" spans="1:16" x14ac:dyDescent="0.35">
      <c r="A604">
        <v>602</v>
      </c>
      <c r="C604" s="14">
        <f t="shared" si="37"/>
        <v>1038704.4766670724</v>
      </c>
      <c r="D604" s="14">
        <f t="shared" si="38"/>
        <v>881013.32438170654</v>
      </c>
      <c r="E604" s="14">
        <f t="shared" si="39"/>
        <v>47992.944679111068</v>
      </c>
      <c r="F604" s="14">
        <f t="shared" si="36"/>
        <v>69589.770007927378</v>
      </c>
      <c r="H604" s="14" cm="1">
        <f t="array" ref="H604:K604">MMULT($C603:$F603,P_Matrix)</f>
        <v>989991.63389012264</v>
      </c>
      <c r="I604" s="14">
        <v>860136.39176301379</v>
      </c>
      <c r="J604" s="14">
        <v>47992.944679111068</v>
      </c>
      <c r="K604" s="14">
        <v>139179.53981534665</v>
      </c>
      <c r="M604" s="12">
        <f>MAX((Inputs!F$25*POWER(1+(Inputs!$C$3-(Inputs!$C$3*(('Steady State'!$A604-1)/Inputs!$C$4))),'Steady State'!$A604-1)),M603)</f>
        <v>48712.842776949758</v>
      </c>
      <c r="N604" s="12">
        <f>MAX((Inputs!G$25*POWER(1+(Inputs!$C$3-(Inputs!$C$3*(('Steady State'!$A604-1)/Inputs!$C$4))),'Steady State'!$A604-1)),N603)</f>
        <v>20876.932618692754</v>
      </c>
      <c r="O604" s="12">
        <v>0</v>
      </c>
      <c r="P604" s="12">
        <v>0</v>
      </c>
    </row>
    <row r="605" spans="1:16" x14ac:dyDescent="0.35">
      <c r="A605">
        <v>603</v>
      </c>
      <c r="C605" s="14">
        <f t="shared" si="37"/>
        <v>1038704.4785557259</v>
      </c>
      <c r="D605" s="14">
        <f t="shared" si="38"/>
        <v>881013.32754861098</v>
      </c>
      <c r="E605" s="14">
        <f t="shared" si="39"/>
        <v>47992.944817954427</v>
      </c>
      <c r="F605" s="14">
        <f t="shared" si="36"/>
        <v>69589.770201241132</v>
      </c>
      <c r="H605" s="14" cm="1">
        <f t="array" ref="H605:K605">MMULT($C604:$F604,P_Matrix)</f>
        <v>989991.63577877614</v>
      </c>
      <c r="I605" s="14">
        <v>860136.39492991823</v>
      </c>
      <c r="J605" s="14">
        <v>47992.944817954427</v>
      </c>
      <c r="K605" s="14">
        <v>139179.54020916851</v>
      </c>
      <c r="M605" s="12">
        <f>MAX((Inputs!F$25*POWER(1+(Inputs!$C$3-(Inputs!$C$3*(('Steady State'!$A605-1)/Inputs!$C$4))),'Steady State'!$A605-1)),M604)</f>
        <v>48712.842776949758</v>
      </c>
      <c r="N605" s="12">
        <f>MAX((Inputs!G$25*POWER(1+(Inputs!$C$3-(Inputs!$C$3*(('Steady State'!$A605-1)/Inputs!$C$4))),'Steady State'!$A605-1)),N604)</f>
        <v>20876.932618692754</v>
      </c>
      <c r="O605" s="12">
        <v>0</v>
      </c>
      <c r="P605" s="12">
        <v>0</v>
      </c>
    </row>
    <row r="606" spans="1:16" x14ac:dyDescent="0.35">
      <c r="A606">
        <v>604</v>
      </c>
      <c r="C606" s="14">
        <f t="shared" si="37"/>
        <v>1038704.4803766134</v>
      </c>
      <c r="D606" s="14">
        <f t="shared" si="38"/>
        <v>881013.33060188545</v>
      </c>
      <c r="E606" s="14">
        <f t="shared" si="39"/>
        <v>47992.944951816025</v>
      </c>
      <c r="F606" s="14">
        <f t="shared" si="36"/>
        <v>69589.770387618715</v>
      </c>
      <c r="H606" s="14" cm="1">
        <f t="array" ref="H606:K606">MMULT($C605:$F605,P_Matrix)</f>
        <v>989991.63759966369</v>
      </c>
      <c r="I606" s="14">
        <v>860136.3979831927</v>
      </c>
      <c r="J606" s="14">
        <v>47992.944951816025</v>
      </c>
      <c r="K606" s="14">
        <v>139179.54058885985</v>
      </c>
      <c r="M606" s="12">
        <f>MAX((Inputs!F$25*POWER(1+(Inputs!$C$3-(Inputs!$C$3*(('Steady State'!$A606-1)/Inputs!$C$4))),'Steady State'!$A606-1)),M605)</f>
        <v>48712.842776949758</v>
      </c>
      <c r="N606" s="12">
        <f>MAX((Inputs!G$25*POWER(1+(Inputs!$C$3-(Inputs!$C$3*(('Steady State'!$A606-1)/Inputs!$C$4))),'Steady State'!$A606-1)),N605)</f>
        <v>20876.932618692754</v>
      </c>
      <c r="O606" s="12">
        <v>0</v>
      </c>
      <c r="P606" s="12">
        <v>0</v>
      </c>
    </row>
    <row r="607" spans="1:16" x14ac:dyDescent="0.35">
      <c r="A607">
        <v>605</v>
      </c>
      <c r="C607" s="14">
        <f t="shared" si="37"/>
        <v>1038704.4821321669</v>
      </c>
      <c r="D607" s="14">
        <f t="shared" si="38"/>
        <v>881013.33354560693</v>
      </c>
      <c r="E607" s="14">
        <f t="shared" si="39"/>
        <v>47992.945080874604</v>
      </c>
      <c r="F607" s="14">
        <f t="shared" si="36"/>
        <v>69589.770567308966</v>
      </c>
      <c r="H607" s="14" cm="1">
        <f t="array" ref="H607:K607">MMULT($C606:$F606,P_Matrix)</f>
        <v>989991.63935521711</v>
      </c>
      <c r="I607" s="14">
        <v>860136.40092691418</v>
      </c>
      <c r="J607" s="14">
        <v>47992.945080874604</v>
      </c>
      <c r="K607" s="14">
        <v>139179.54095492768</v>
      </c>
      <c r="M607" s="12">
        <f>MAX((Inputs!F$25*POWER(1+(Inputs!$C$3-(Inputs!$C$3*(('Steady State'!$A607-1)/Inputs!$C$4))),'Steady State'!$A607-1)),M606)</f>
        <v>48712.842776949758</v>
      </c>
      <c r="N607" s="12">
        <f>MAX((Inputs!G$25*POWER(1+(Inputs!$C$3-(Inputs!$C$3*(('Steady State'!$A607-1)/Inputs!$C$4))),'Steady State'!$A607-1)),N606)</f>
        <v>20876.932618692754</v>
      </c>
      <c r="O607" s="12">
        <v>0</v>
      </c>
      <c r="P607" s="12">
        <v>0</v>
      </c>
    </row>
    <row r="608" spans="1:16" x14ac:dyDescent="0.35">
      <c r="A608">
        <v>606</v>
      </c>
      <c r="C608" s="14">
        <f t="shared" si="37"/>
        <v>1038704.48382473</v>
      </c>
      <c r="D608" s="14">
        <f t="shared" si="38"/>
        <v>881013.33638370642</v>
      </c>
      <c r="E608" s="14">
        <f t="shared" si="39"/>
        <v>47992.945205302502</v>
      </c>
      <c r="F608" s="14">
        <f t="shared" si="36"/>
        <v>69589.770740551845</v>
      </c>
      <c r="H608" s="14" cm="1">
        <f t="array" ref="H608:K608">MMULT($C607:$F607,P_Matrix)</f>
        <v>989991.64104778029</v>
      </c>
      <c r="I608" s="14">
        <v>860136.40376501367</v>
      </c>
      <c r="J608" s="14">
        <v>47992.945205302502</v>
      </c>
      <c r="K608" s="14">
        <v>139179.54130786081</v>
      </c>
      <c r="M608" s="12">
        <f>MAX((Inputs!F$25*POWER(1+(Inputs!$C$3-(Inputs!$C$3*(('Steady State'!$A608-1)/Inputs!$C$4))),'Steady State'!$A608-1)),M607)</f>
        <v>48712.842776949758</v>
      </c>
      <c r="N608" s="12">
        <f>MAX((Inputs!G$25*POWER(1+(Inputs!$C$3-(Inputs!$C$3*(('Steady State'!$A608-1)/Inputs!$C$4))),'Steady State'!$A608-1)),N607)</f>
        <v>20876.932618692754</v>
      </c>
      <c r="O608" s="12">
        <v>0</v>
      </c>
      <c r="P608" s="12">
        <v>0</v>
      </c>
    </row>
    <row r="609" spans="1:16" x14ac:dyDescent="0.35">
      <c r="A609">
        <v>607</v>
      </c>
      <c r="C609" s="14">
        <f t="shared" si="37"/>
        <v>1038704.4854565632</v>
      </c>
      <c r="D609" s="14">
        <f t="shared" si="38"/>
        <v>881013.33911997348</v>
      </c>
      <c r="E609" s="14">
        <f t="shared" si="39"/>
        <v>47992.945325265871</v>
      </c>
      <c r="F609" s="14">
        <f t="shared" si="36"/>
        <v>69589.770907578728</v>
      </c>
      <c r="H609" s="14" cm="1">
        <f t="array" ref="H609:K609">MMULT($C608:$F608,P_Matrix)</f>
        <v>989991.64267961343</v>
      </c>
      <c r="I609" s="14">
        <v>860136.40650128073</v>
      </c>
      <c r="J609" s="14">
        <v>47992.945325265871</v>
      </c>
      <c r="K609" s="14">
        <v>139179.54164813057</v>
      </c>
      <c r="M609" s="12">
        <f>MAX((Inputs!F$25*POWER(1+(Inputs!$C$3-(Inputs!$C$3*(('Steady State'!$A609-1)/Inputs!$C$4))),'Steady State'!$A609-1)),M608)</f>
        <v>48712.842776949758</v>
      </c>
      <c r="N609" s="12">
        <f>MAX((Inputs!G$25*POWER(1+(Inputs!$C$3-(Inputs!$C$3*(('Steady State'!$A609-1)/Inputs!$C$4))),'Steady State'!$A609-1)),N608)</f>
        <v>20876.932618692754</v>
      </c>
      <c r="O609" s="12">
        <v>0</v>
      </c>
      <c r="P609" s="12">
        <v>0</v>
      </c>
    </row>
    <row r="610" spans="1:16" x14ac:dyDescent="0.35">
      <c r="A610">
        <v>608</v>
      </c>
      <c r="C610" s="14">
        <f t="shared" si="37"/>
        <v>1038704.4870298455</v>
      </c>
      <c r="D610" s="14">
        <f t="shared" si="38"/>
        <v>881013.34175806202</v>
      </c>
      <c r="E610" s="14">
        <f t="shared" si="39"/>
        <v>47992.945440924886</v>
      </c>
      <c r="F610" s="14">
        <f t="shared" si="36"/>
        <v>69589.77106861255</v>
      </c>
      <c r="H610" s="14" cm="1">
        <f t="array" ref="H610:K610">MMULT($C609:$F609,P_Matrix)</f>
        <v>989991.64425289573</v>
      </c>
      <c r="I610" s="14">
        <v>860136.40913936927</v>
      </c>
      <c r="J610" s="14">
        <v>47992.945440924886</v>
      </c>
      <c r="K610" s="14">
        <v>139179.54197619128</v>
      </c>
      <c r="M610" s="12">
        <f>MAX((Inputs!F$25*POWER(1+(Inputs!$C$3-(Inputs!$C$3*(('Steady State'!$A610-1)/Inputs!$C$4))),'Steady State'!$A610-1)),M609)</f>
        <v>48712.842776949758</v>
      </c>
      <c r="N610" s="12">
        <f>MAX((Inputs!G$25*POWER(1+(Inputs!$C$3-(Inputs!$C$3*(('Steady State'!$A610-1)/Inputs!$C$4))),'Steady State'!$A610-1)),N609)</f>
        <v>20876.932618692754</v>
      </c>
      <c r="O610" s="12">
        <v>0</v>
      </c>
      <c r="P610" s="12">
        <v>0</v>
      </c>
    </row>
    <row r="611" spans="1:16" x14ac:dyDescent="0.35">
      <c r="A611">
        <v>609</v>
      </c>
      <c r="C611" s="14">
        <f t="shared" si="37"/>
        <v>1038704.4885466775</v>
      </c>
      <c r="D611" s="14">
        <f t="shared" si="38"/>
        <v>881013.34430149477</v>
      </c>
      <c r="E611" s="14">
        <f t="shared" si="39"/>
        <v>47992.945552434008</v>
      </c>
      <c r="F611" s="14">
        <f t="shared" si="36"/>
        <v>69589.771223868447</v>
      </c>
      <c r="H611" s="14" cm="1">
        <f t="array" ref="H611:K611">MMULT($C610:$F610,P_Matrix)</f>
        <v>989991.64576972777</v>
      </c>
      <c r="I611" s="14">
        <v>860136.41168280202</v>
      </c>
      <c r="J611" s="14">
        <v>47992.945552434008</v>
      </c>
      <c r="K611" s="14">
        <v>139179.542292481</v>
      </c>
      <c r="M611" s="12">
        <f>MAX((Inputs!F$25*POWER(1+(Inputs!$C$3-(Inputs!$C$3*(('Steady State'!$A611-1)/Inputs!$C$4))),'Steady State'!$A611-1)),M610)</f>
        <v>48712.842776949758</v>
      </c>
      <c r="N611" s="12">
        <f>MAX((Inputs!G$25*POWER(1+(Inputs!$C$3-(Inputs!$C$3*(('Steady State'!$A611-1)/Inputs!$C$4))),'Steady State'!$A611-1)),N610)</f>
        <v>20876.932618692754</v>
      </c>
      <c r="O611" s="12">
        <v>0</v>
      </c>
      <c r="P611" s="12">
        <v>0</v>
      </c>
    </row>
    <row r="612" spans="1:16" x14ac:dyDescent="0.35">
      <c r="A612">
        <v>610</v>
      </c>
      <c r="C612" s="14">
        <f t="shared" si="37"/>
        <v>1038704.4900090849</v>
      </c>
      <c r="D612" s="14">
        <f t="shared" si="38"/>
        <v>881013.34675366792</v>
      </c>
      <c r="E612" s="14">
        <f t="shared" si="39"/>
        <v>47992.945659942125</v>
      </c>
      <c r="F612" s="14">
        <f t="shared" si="36"/>
        <v>69589.771373553667</v>
      </c>
      <c r="H612" s="14" cm="1">
        <f t="array" ref="H612:K612">MMULT($C611:$F611,P_Matrix)</f>
        <v>989991.64723213518</v>
      </c>
      <c r="I612" s="14">
        <v>860136.41413497517</v>
      </c>
      <c r="J612" s="14">
        <v>47992.945659942125</v>
      </c>
      <c r="K612" s="14">
        <v>139179.54259742211</v>
      </c>
      <c r="M612" s="12">
        <f>MAX((Inputs!F$25*POWER(1+(Inputs!$C$3-(Inputs!$C$3*(('Steady State'!$A612-1)/Inputs!$C$4))),'Steady State'!$A612-1)),M611)</f>
        <v>48712.842776949758</v>
      </c>
      <c r="N612" s="12">
        <f>MAX((Inputs!G$25*POWER(1+(Inputs!$C$3-(Inputs!$C$3*(('Steady State'!$A612-1)/Inputs!$C$4))),'Steady State'!$A612-1)),N611)</f>
        <v>20876.932618692754</v>
      </c>
      <c r="O612" s="12">
        <v>0</v>
      </c>
      <c r="P612" s="12">
        <v>0</v>
      </c>
    </row>
    <row r="613" spans="1:16" x14ac:dyDescent="0.35">
      <c r="A613">
        <v>611</v>
      </c>
      <c r="C613" s="14">
        <f t="shared" si="37"/>
        <v>1038704.4914190203</v>
      </c>
      <c r="D613" s="14">
        <f t="shared" si="38"/>
        <v>881013.34911785612</v>
      </c>
      <c r="E613" s="14">
        <f t="shared" si="39"/>
        <v>47992.945763592805</v>
      </c>
      <c r="F613" s="14">
        <f t="shared" si="36"/>
        <v>69589.771517868096</v>
      </c>
      <c r="H613" s="14" cm="1">
        <f t="array" ref="H613:K613">MMULT($C612:$F612,P_Matrix)</f>
        <v>989991.64864207059</v>
      </c>
      <c r="I613" s="14">
        <v>860136.41649916337</v>
      </c>
      <c r="J613" s="14">
        <v>47992.945763592805</v>
      </c>
      <c r="K613" s="14">
        <v>139179.54289142176</v>
      </c>
      <c r="M613" s="12">
        <f>MAX((Inputs!F$25*POWER(1+(Inputs!$C$3-(Inputs!$C$3*(('Steady State'!$A613-1)/Inputs!$C$4))),'Steady State'!$A613-1)),M612)</f>
        <v>48712.842776949758</v>
      </c>
      <c r="N613" s="12">
        <f>MAX((Inputs!G$25*POWER(1+(Inputs!$C$3-(Inputs!$C$3*(('Steady State'!$A613-1)/Inputs!$C$4))),'Steady State'!$A613-1)),N612)</f>
        <v>20876.932618692754</v>
      </c>
      <c r="O613" s="12">
        <v>0</v>
      </c>
      <c r="P613" s="12">
        <v>0</v>
      </c>
    </row>
    <row r="614" spans="1:16" x14ac:dyDescent="0.35">
      <c r="A614">
        <v>612</v>
      </c>
      <c r="C614" s="14">
        <f t="shared" si="37"/>
        <v>1038704.4927783667</v>
      </c>
      <c r="D614" s="14">
        <f t="shared" si="38"/>
        <v>881013.35139721597</v>
      </c>
      <c r="E614" s="14">
        <f t="shared" si="39"/>
        <v>47992.945863524452</v>
      </c>
      <c r="F614" s="14">
        <f t="shared" si="36"/>
        <v>69589.771657004487</v>
      </c>
      <c r="H614" s="14" cm="1">
        <f t="array" ref="H614:K614">MMULT($C613:$F613,P_Matrix)</f>
        <v>989991.65000141691</v>
      </c>
      <c r="I614" s="14">
        <v>860136.41877852322</v>
      </c>
      <c r="J614" s="14">
        <v>47992.945863524452</v>
      </c>
      <c r="K614" s="14">
        <v>139179.54317487258</v>
      </c>
      <c r="M614" s="12">
        <f>MAX((Inputs!F$25*POWER(1+(Inputs!$C$3-(Inputs!$C$3*(('Steady State'!$A614-1)/Inputs!$C$4))),'Steady State'!$A614-1)),M613)</f>
        <v>48712.842776949758</v>
      </c>
      <c r="N614" s="12">
        <f>MAX((Inputs!G$25*POWER(1+(Inputs!$C$3-(Inputs!$C$3*(('Steady State'!$A614-1)/Inputs!$C$4))),'Steady State'!$A614-1)),N613)</f>
        <v>20876.932618692754</v>
      </c>
      <c r="O614" s="12">
        <v>0</v>
      </c>
      <c r="P614" s="12">
        <v>0</v>
      </c>
    </row>
    <row r="615" spans="1:16" x14ac:dyDescent="0.35">
      <c r="A615">
        <v>613</v>
      </c>
      <c r="C615" s="14">
        <f t="shared" si="37"/>
        <v>1038704.4940889389</v>
      </c>
      <c r="D615" s="14">
        <f t="shared" si="38"/>
        <v>881013.35359479149</v>
      </c>
      <c r="E615" s="14">
        <f t="shared" si="39"/>
        <v>47992.9459598705</v>
      </c>
      <c r="F615" s="14">
        <f t="shared" si="36"/>
        <v>69589.771791148582</v>
      </c>
      <c r="H615" s="14" cm="1">
        <f t="array" ref="H615:K615">MMULT($C614:$F614,P_Matrix)</f>
        <v>989991.65131198918</v>
      </c>
      <c r="I615" s="14">
        <v>860136.42097609874</v>
      </c>
      <c r="J615" s="14">
        <v>47992.9459598705</v>
      </c>
      <c r="K615" s="14">
        <v>139179.54344815307</v>
      </c>
      <c r="M615" s="12">
        <f>MAX((Inputs!F$25*POWER(1+(Inputs!$C$3-(Inputs!$C$3*(('Steady State'!$A615-1)/Inputs!$C$4))),'Steady State'!$A615-1)),M614)</f>
        <v>48712.842776949758</v>
      </c>
      <c r="N615" s="12">
        <f>MAX((Inputs!G$25*POWER(1+(Inputs!$C$3-(Inputs!$C$3*(('Steady State'!$A615-1)/Inputs!$C$4))),'Steady State'!$A615-1)),N614)</f>
        <v>20876.932618692754</v>
      </c>
      <c r="O615" s="12">
        <v>0</v>
      </c>
      <c r="P615" s="12">
        <v>0</v>
      </c>
    </row>
    <row r="616" spans="1:16" x14ac:dyDescent="0.35">
      <c r="A616">
        <v>614</v>
      </c>
      <c r="C616" s="14">
        <f t="shared" si="37"/>
        <v>1038704.4953524872</v>
      </c>
      <c r="D616" s="14">
        <f t="shared" si="38"/>
        <v>881013.35571351694</v>
      </c>
      <c r="E616" s="14">
        <f t="shared" si="39"/>
        <v>47992.946052759602</v>
      </c>
      <c r="F616" s="14">
        <f t="shared" si="36"/>
        <v>69589.771920479543</v>
      </c>
      <c r="H616" s="14" cm="1">
        <f t="array" ref="H616:K616">MMULT($C615:$F615,P_Matrix)</f>
        <v>989991.65257553745</v>
      </c>
      <c r="I616" s="14">
        <v>860136.42309482419</v>
      </c>
      <c r="J616" s="14">
        <v>47992.946052759602</v>
      </c>
      <c r="K616" s="14">
        <v>139179.54371162812</v>
      </c>
      <c r="M616" s="12">
        <f>MAX((Inputs!F$25*POWER(1+(Inputs!$C$3-(Inputs!$C$3*(('Steady State'!$A616-1)/Inputs!$C$4))),'Steady State'!$A616-1)),M615)</f>
        <v>48712.842776949758</v>
      </c>
      <c r="N616" s="12">
        <f>MAX((Inputs!G$25*POWER(1+(Inputs!$C$3-(Inputs!$C$3*(('Steady State'!$A616-1)/Inputs!$C$4))),'Steady State'!$A616-1)),N615)</f>
        <v>20876.932618692754</v>
      </c>
      <c r="O616" s="12">
        <v>0</v>
      </c>
      <c r="P616" s="12">
        <v>0</v>
      </c>
    </row>
    <row r="617" spans="1:16" x14ac:dyDescent="0.35">
      <c r="A617">
        <v>615</v>
      </c>
      <c r="C617" s="14">
        <f t="shared" si="37"/>
        <v>1038704.4965706988</v>
      </c>
      <c r="D617" s="14">
        <f t="shared" si="38"/>
        <v>881013.35775622155</v>
      </c>
      <c r="E617" s="14">
        <f t="shared" si="39"/>
        <v>47992.946142315806</v>
      </c>
      <c r="F617" s="14">
        <f t="shared" si="36"/>
        <v>69589.772045170015</v>
      </c>
      <c r="H617" s="14" cm="1">
        <f t="array" ref="H617:K617">MMULT($C616:$F616,P_Matrix)</f>
        <v>989991.65379374905</v>
      </c>
      <c r="I617" s="14">
        <v>860136.4251375288</v>
      </c>
      <c r="J617" s="14">
        <v>47992.946142315806</v>
      </c>
      <c r="K617" s="14">
        <v>139179.54396564956</v>
      </c>
      <c r="M617" s="12">
        <f>MAX((Inputs!F$25*POWER(1+(Inputs!$C$3-(Inputs!$C$3*(('Steady State'!$A617-1)/Inputs!$C$4))),'Steady State'!$A617-1)),M616)</f>
        <v>48712.842776949758</v>
      </c>
      <c r="N617" s="12">
        <f>MAX((Inputs!G$25*POWER(1+(Inputs!$C$3-(Inputs!$C$3*(('Steady State'!$A617-1)/Inputs!$C$4))),'Steady State'!$A617-1)),N616)</f>
        <v>20876.932618692754</v>
      </c>
      <c r="O617" s="12">
        <v>0</v>
      </c>
      <c r="P617" s="12">
        <v>0</v>
      </c>
    </row>
    <row r="618" spans="1:16" x14ac:dyDescent="0.35">
      <c r="A618">
        <v>616</v>
      </c>
      <c r="C618" s="14">
        <f t="shared" si="37"/>
        <v>1038704.4977452003</v>
      </c>
      <c r="D618" s="14">
        <f t="shared" si="38"/>
        <v>881013.35972563305</v>
      </c>
      <c r="E618" s="14">
        <f t="shared" si="39"/>
        <v>47992.946228658693</v>
      </c>
      <c r="F618" s="14">
        <f t="shared" si="36"/>
        <v>69589.772165386559</v>
      </c>
      <c r="H618" s="14" cm="1">
        <f t="array" ref="H618:K618">MMULT($C617:$F617,P_Matrix)</f>
        <v>989991.65496825054</v>
      </c>
      <c r="I618" s="14">
        <v>860136.4271069403</v>
      </c>
      <c r="J618" s="14">
        <v>47992.946228658693</v>
      </c>
      <c r="K618" s="14">
        <v>139179.54421055657</v>
      </c>
      <c r="M618" s="12">
        <f>MAX((Inputs!F$25*POWER(1+(Inputs!$C$3-(Inputs!$C$3*(('Steady State'!$A618-1)/Inputs!$C$4))),'Steady State'!$A618-1)),M617)</f>
        <v>48712.842776949758</v>
      </c>
      <c r="N618" s="12">
        <f>MAX((Inputs!G$25*POWER(1+(Inputs!$C$3-(Inputs!$C$3*(('Steady State'!$A618-1)/Inputs!$C$4))),'Steady State'!$A618-1)),N617)</f>
        <v>20876.932618692754</v>
      </c>
      <c r="O618" s="12">
        <v>0</v>
      </c>
      <c r="P618" s="12">
        <v>0</v>
      </c>
    </row>
    <row r="619" spans="1:16" x14ac:dyDescent="0.35">
      <c r="A619">
        <v>617</v>
      </c>
      <c r="C619" s="14">
        <f t="shared" si="37"/>
        <v>1038704.4988775603</v>
      </c>
      <c r="D619" s="14">
        <f t="shared" si="38"/>
        <v>881013.36162438116</v>
      </c>
      <c r="E619" s="14">
        <f t="shared" si="39"/>
        <v>47992.94631190355</v>
      </c>
      <c r="F619" s="14">
        <f t="shared" si="36"/>
        <v>69589.772281289683</v>
      </c>
      <c r="H619" s="14" cm="1">
        <f t="array" ref="H619:K619">MMULT($C618:$F618,P_Matrix)</f>
        <v>989991.6561006105</v>
      </c>
      <c r="I619" s="14">
        <v>860136.42900568841</v>
      </c>
      <c r="J619" s="14">
        <v>47992.94631190355</v>
      </c>
      <c r="K619" s="14">
        <v>139179.54444667624</v>
      </c>
      <c r="M619" s="12">
        <f>MAX((Inputs!F$25*POWER(1+(Inputs!$C$3-(Inputs!$C$3*(('Steady State'!$A619-1)/Inputs!$C$4))),'Steady State'!$A619-1)),M618)</f>
        <v>48712.842776949758</v>
      </c>
      <c r="N619" s="12">
        <f>MAX((Inputs!G$25*POWER(1+(Inputs!$C$3-(Inputs!$C$3*(('Steady State'!$A619-1)/Inputs!$C$4))),'Steady State'!$A619-1)),N618)</f>
        <v>20876.932618692754</v>
      </c>
      <c r="O619" s="12">
        <v>0</v>
      </c>
      <c r="P619" s="12">
        <v>0</v>
      </c>
    </row>
    <row r="620" spans="1:16" x14ac:dyDescent="0.35">
      <c r="A620">
        <v>618</v>
      </c>
      <c r="C620" s="14">
        <f t="shared" si="37"/>
        <v>1038704.4999692906</v>
      </c>
      <c r="D620" s="14">
        <f t="shared" si="38"/>
        <v>881013.36345500126</v>
      </c>
      <c r="E620" s="14">
        <f t="shared" si="39"/>
        <v>47992.946392161539</v>
      </c>
      <c r="F620" s="14">
        <f t="shared" si="36"/>
        <v>69589.772393034131</v>
      </c>
      <c r="H620" s="14" cm="1">
        <f t="array" ref="H620:K620">MMULT($C619:$F619,P_Matrix)</f>
        <v>989991.65719234082</v>
      </c>
      <c r="I620" s="14">
        <v>860136.43083630851</v>
      </c>
      <c r="J620" s="14">
        <v>47992.946392161539</v>
      </c>
      <c r="K620" s="14">
        <v>139179.54467432381</v>
      </c>
      <c r="M620" s="12">
        <f>MAX((Inputs!F$25*POWER(1+(Inputs!$C$3-(Inputs!$C$3*(('Steady State'!$A620-1)/Inputs!$C$4))),'Steady State'!$A620-1)),M619)</f>
        <v>48712.842776949758</v>
      </c>
      <c r="N620" s="12">
        <f>MAX((Inputs!G$25*POWER(1+(Inputs!$C$3-(Inputs!$C$3*(('Steady State'!$A620-1)/Inputs!$C$4))),'Steady State'!$A620-1)),N619)</f>
        <v>20876.932618692754</v>
      </c>
      <c r="O620" s="12">
        <v>0</v>
      </c>
      <c r="P620" s="12">
        <v>0</v>
      </c>
    </row>
    <row r="621" spans="1:16" x14ac:dyDescent="0.35">
      <c r="A621">
        <v>619</v>
      </c>
      <c r="C621" s="14">
        <f t="shared" si="37"/>
        <v>1038704.501021849</v>
      </c>
      <c r="D621" s="14">
        <f t="shared" si="38"/>
        <v>881013.36521993764</v>
      </c>
      <c r="E621" s="14">
        <f t="shared" si="39"/>
        <v>47992.946469539842</v>
      </c>
      <c r="F621" s="14">
        <f t="shared" si="36"/>
        <v>69589.772500769119</v>
      </c>
      <c r="H621" s="14" cm="1">
        <f t="array" ref="H621:K621">MMULT($C620:$F620,P_Matrix)</f>
        <v>989991.65824489924</v>
      </c>
      <c r="I621" s="14">
        <v>860136.43260124489</v>
      </c>
      <c r="J621" s="14">
        <v>47992.946469539842</v>
      </c>
      <c r="K621" s="14">
        <v>139179.54489380325</v>
      </c>
      <c r="M621" s="12">
        <f>MAX((Inputs!F$25*POWER(1+(Inputs!$C$3-(Inputs!$C$3*(('Steady State'!$A621-1)/Inputs!$C$4))),'Steady State'!$A621-1)),M620)</f>
        <v>48712.842776949758</v>
      </c>
      <c r="N621" s="12">
        <f>MAX((Inputs!G$25*POWER(1+(Inputs!$C$3-(Inputs!$C$3*(('Steady State'!$A621-1)/Inputs!$C$4))),'Steady State'!$A621-1)),N620)</f>
        <v>20876.932618692754</v>
      </c>
      <c r="O621" s="12">
        <v>0</v>
      </c>
      <c r="P621" s="12">
        <v>0</v>
      </c>
    </row>
    <row r="622" spans="1:16" x14ac:dyDescent="0.35">
      <c r="A622">
        <v>620</v>
      </c>
      <c r="C622" s="14">
        <f t="shared" si="37"/>
        <v>1038704.5020366411</v>
      </c>
      <c r="D622" s="14">
        <f t="shared" si="38"/>
        <v>881013.36692154745</v>
      </c>
      <c r="E622" s="14">
        <f t="shared" si="39"/>
        <v>47992.946544141771</v>
      </c>
      <c r="F622" s="14">
        <f t="shared" si="36"/>
        <v>69589.772604638536</v>
      </c>
      <c r="H622" s="14" cm="1">
        <f t="array" ref="H622:K622">MMULT($C621:$F621,P_Matrix)</f>
        <v>989991.65925969137</v>
      </c>
      <c r="I622" s="14">
        <v>860136.4343028547</v>
      </c>
      <c r="J622" s="14">
        <v>47992.946544141771</v>
      </c>
      <c r="K622" s="14">
        <v>139179.54510540765</v>
      </c>
      <c r="M622" s="12">
        <f>MAX((Inputs!F$25*POWER(1+(Inputs!$C$3-(Inputs!$C$3*(('Steady State'!$A622-1)/Inputs!$C$4))),'Steady State'!$A622-1)),M621)</f>
        <v>48712.842776949758</v>
      </c>
      <c r="N622" s="12">
        <f>MAX((Inputs!G$25*POWER(1+(Inputs!$C$3-(Inputs!$C$3*(('Steady State'!$A622-1)/Inputs!$C$4))),'Steady State'!$A622-1)),N621)</f>
        <v>20876.932618692754</v>
      </c>
      <c r="O622" s="12">
        <v>0</v>
      </c>
      <c r="P622" s="12">
        <v>0</v>
      </c>
    </row>
    <row r="623" spans="1:16" x14ac:dyDescent="0.35">
      <c r="A623">
        <v>621</v>
      </c>
      <c r="C623" s="14">
        <f t="shared" si="37"/>
        <v>1038704.503015022</v>
      </c>
      <c r="D623" s="14">
        <f t="shared" si="38"/>
        <v>881013.36856210278</v>
      </c>
      <c r="E623" s="14">
        <f t="shared" si="39"/>
        <v>47992.946616066954</v>
      </c>
      <c r="F623" s="14">
        <f t="shared" si="36"/>
        <v>69589.772704781091</v>
      </c>
      <c r="H623" s="14" cm="1">
        <f t="array" ref="H623:K623">MMULT($C622:$F622,P_Matrix)</f>
        <v>989991.66023807228</v>
      </c>
      <c r="I623" s="14">
        <v>860136.43594341003</v>
      </c>
      <c r="J623" s="14">
        <v>47992.946616066954</v>
      </c>
      <c r="K623" s="14">
        <v>139179.54530941963</v>
      </c>
      <c r="M623" s="12">
        <f>MAX((Inputs!F$25*POWER(1+(Inputs!$C$3-(Inputs!$C$3*(('Steady State'!$A623-1)/Inputs!$C$4))),'Steady State'!$A623-1)),M622)</f>
        <v>48712.842776949758</v>
      </c>
      <c r="N623" s="12">
        <f>MAX((Inputs!G$25*POWER(1+(Inputs!$C$3-(Inputs!$C$3*(('Steady State'!$A623-1)/Inputs!$C$4))),'Steady State'!$A623-1)),N622)</f>
        <v>20876.932618692754</v>
      </c>
      <c r="O623" s="12">
        <v>0</v>
      </c>
      <c r="P623" s="12">
        <v>0</v>
      </c>
    </row>
    <row r="624" spans="1:16" x14ac:dyDescent="0.35">
      <c r="A624">
        <v>622</v>
      </c>
      <c r="C624" s="14">
        <f t="shared" si="37"/>
        <v>1038704.5039582981</v>
      </c>
      <c r="D624" s="14">
        <f t="shared" si="38"/>
        <v>881013.37014379411</v>
      </c>
      <c r="E624" s="14">
        <f t="shared" si="39"/>
        <v>47992.946685411414</v>
      </c>
      <c r="F624" s="14">
        <f t="shared" si="36"/>
        <v>69589.772801330488</v>
      </c>
      <c r="H624" s="14" cm="1">
        <f t="array" ref="H624:K624">MMULT($C623:$F623,P_Matrix)</f>
        <v>989991.66118134838</v>
      </c>
      <c r="I624" s="14">
        <v>860136.43752510136</v>
      </c>
      <c r="J624" s="14">
        <v>47992.946685411414</v>
      </c>
      <c r="K624" s="14">
        <v>139179.54550611158</v>
      </c>
      <c r="M624" s="12">
        <f>MAX((Inputs!F$25*POWER(1+(Inputs!$C$3-(Inputs!$C$3*(('Steady State'!$A624-1)/Inputs!$C$4))),'Steady State'!$A624-1)),M623)</f>
        <v>48712.842776949758</v>
      </c>
      <c r="N624" s="12">
        <f>MAX((Inputs!G$25*POWER(1+(Inputs!$C$3-(Inputs!$C$3*(('Steady State'!$A624-1)/Inputs!$C$4))),'Steady State'!$A624-1)),N623)</f>
        <v>20876.932618692754</v>
      </c>
      <c r="O624" s="12">
        <v>0</v>
      </c>
      <c r="P624" s="12">
        <v>0</v>
      </c>
    </row>
    <row r="625" spans="1:16" x14ac:dyDescent="0.35">
      <c r="A625">
        <v>623</v>
      </c>
      <c r="C625" s="14">
        <f t="shared" si="37"/>
        <v>1038704.504867729</v>
      </c>
      <c r="D625" s="14">
        <f t="shared" si="38"/>
        <v>881013.37166873366</v>
      </c>
      <c r="E625" s="14">
        <f t="shared" si="39"/>
        <v>47992.946752267773</v>
      </c>
      <c r="F625" s="14">
        <f t="shared" si="36"/>
        <v>69589.772894415626</v>
      </c>
      <c r="H625" s="14" cm="1">
        <f t="array" ref="H625:K625">MMULT($C624:$F624,P_Matrix)</f>
        <v>989991.66209077928</v>
      </c>
      <c r="I625" s="14">
        <v>860136.43905004091</v>
      </c>
      <c r="J625" s="14">
        <v>47992.946752267773</v>
      </c>
      <c r="K625" s="14">
        <v>139179.54569574611</v>
      </c>
      <c r="M625" s="12">
        <f>MAX((Inputs!F$25*POWER(1+(Inputs!$C$3-(Inputs!$C$3*(('Steady State'!$A625-1)/Inputs!$C$4))),'Steady State'!$A625-1)),M624)</f>
        <v>48712.842776949758</v>
      </c>
      <c r="N625" s="12">
        <f>MAX((Inputs!G$25*POWER(1+(Inputs!$C$3-(Inputs!$C$3*(('Steady State'!$A625-1)/Inputs!$C$4))),'Steady State'!$A625-1)),N624)</f>
        <v>20876.932618692754</v>
      </c>
      <c r="O625" s="12">
        <v>0</v>
      </c>
      <c r="P625" s="12">
        <v>0</v>
      </c>
    </row>
    <row r="626" spans="1:16" x14ac:dyDescent="0.35">
      <c r="A626">
        <v>624</v>
      </c>
      <c r="C626" s="14">
        <f t="shared" si="37"/>
        <v>1038704.5057445291</v>
      </c>
      <c r="D626" s="14">
        <f t="shared" si="38"/>
        <v>881013.37313895766</v>
      </c>
      <c r="E626" s="14">
        <f t="shared" si="39"/>
        <v>47992.946816725293</v>
      </c>
      <c r="F626" s="14">
        <f t="shared" si="36"/>
        <v>69589.772984160838</v>
      </c>
      <c r="H626" s="14" cm="1">
        <f t="array" ref="H626:K626">MMULT($C625:$F625,P_Matrix)</f>
        <v>989991.66296757932</v>
      </c>
      <c r="I626" s="14">
        <v>860136.44052026491</v>
      </c>
      <c r="J626" s="14">
        <v>47992.946816725293</v>
      </c>
      <c r="K626" s="14">
        <v>139179.54587857646</v>
      </c>
      <c r="M626" s="12">
        <f>MAX((Inputs!F$25*POWER(1+(Inputs!$C$3-(Inputs!$C$3*(('Steady State'!$A626-1)/Inputs!$C$4))),'Steady State'!$A626-1)),M625)</f>
        <v>48712.842776949758</v>
      </c>
      <c r="N626" s="12">
        <f>MAX((Inputs!G$25*POWER(1+(Inputs!$C$3-(Inputs!$C$3*(('Steady State'!$A626-1)/Inputs!$C$4))),'Steady State'!$A626-1)),N625)</f>
        <v>20876.932618692754</v>
      </c>
      <c r="O626" s="12">
        <v>0</v>
      </c>
      <c r="P626" s="12">
        <v>0</v>
      </c>
    </row>
    <row r="627" spans="1:16" x14ac:dyDescent="0.35">
      <c r="A627">
        <v>625</v>
      </c>
      <c r="C627" s="14">
        <f t="shared" si="37"/>
        <v>1038704.506589869</v>
      </c>
      <c r="D627" s="14">
        <f t="shared" si="38"/>
        <v>881013.37455642933</v>
      </c>
      <c r="E627" s="14">
        <f t="shared" si="39"/>
        <v>47992.946878870047</v>
      </c>
      <c r="F627" s="14">
        <f t="shared" si="36"/>
        <v>69589.773070685944</v>
      </c>
      <c r="H627" s="14" cm="1">
        <f t="array" ref="H627:K627">MMULT($C626:$F626,P_Matrix)</f>
        <v>989991.66381291929</v>
      </c>
      <c r="I627" s="14">
        <v>860136.44193773658</v>
      </c>
      <c r="J627" s="14">
        <v>47992.946878870047</v>
      </c>
      <c r="K627" s="14">
        <v>139179.54605484678</v>
      </c>
      <c r="M627" s="12">
        <f>MAX((Inputs!F$25*POWER(1+(Inputs!$C$3-(Inputs!$C$3*(('Steady State'!$A627-1)/Inputs!$C$4))),'Steady State'!$A627-1)),M626)</f>
        <v>48712.842776949758</v>
      </c>
      <c r="N627" s="12">
        <f>MAX((Inputs!G$25*POWER(1+(Inputs!$C$3-(Inputs!$C$3*(('Steady State'!$A627-1)/Inputs!$C$4))),'Steady State'!$A627-1)),N626)</f>
        <v>20876.932618692754</v>
      </c>
      <c r="O627" s="12">
        <v>0</v>
      </c>
      <c r="P627" s="12">
        <v>0</v>
      </c>
    </row>
    <row r="628" spans="1:16" x14ac:dyDescent="0.35">
      <c r="A628">
        <v>626</v>
      </c>
      <c r="C628" s="14">
        <f t="shared" si="37"/>
        <v>1038704.5074048778</v>
      </c>
      <c r="D628" s="14">
        <f t="shared" si="38"/>
        <v>881013.37592304137</v>
      </c>
      <c r="E628" s="14">
        <f t="shared" si="39"/>
        <v>47992.946938785011</v>
      </c>
      <c r="F628" s="14">
        <f t="shared" si="36"/>
        <v>69589.773154106457</v>
      </c>
      <c r="H628" s="14" cm="1">
        <f t="array" ref="H628:K628">MMULT($C627:$F627,P_Matrix)</f>
        <v>989991.66462792805</v>
      </c>
      <c r="I628" s="14">
        <v>860136.44330434862</v>
      </c>
      <c r="J628" s="14">
        <v>47992.946938785011</v>
      </c>
      <c r="K628" s="14">
        <v>139179.5462247924</v>
      </c>
      <c r="M628" s="12">
        <f>MAX((Inputs!F$25*POWER(1+(Inputs!$C$3-(Inputs!$C$3*(('Steady State'!$A628-1)/Inputs!$C$4))),'Steady State'!$A628-1)),M627)</f>
        <v>48712.842776949758</v>
      </c>
      <c r="N628" s="12">
        <f>MAX((Inputs!G$25*POWER(1+(Inputs!$C$3-(Inputs!$C$3*(('Steady State'!$A628-1)/Inputs!$C$4))),'Steady State'!$A628-1)),N627)</f>
        <v>20876.932618692754</v>
      </c>
      <c r="O628" s="12">
        <v>0</v>
      </c>
      <c r="P628" s="12">
        <v>0</v>
      </c>
    </row>
    <row r="629" spans="1:16" x14ac:dyDescent="0.35">
      <c r="A629">
        <v>627</v>
      </c>
      <c r="C629" s="14">
        <f t="shared" si="37"/>
        <v>1038704.5081906437</v>
      </c>
      <c r="D629" s="14">
        <f t="shared" si="38"/>
        <v>881013.37724061881</v>
      </c>
      <c r="E629" s="14">
        <f t="shared" si="39"/>
        <v>47992.946996550192</v>
      </c>
      <c r="F629" s="14">
        <f t="shared" si="36"/>
        <v>69589.773234533845</v>
      </c>
      <c r="H629" s="14" cm="1">
        <f t="array" ref="H629:K629">MMULT($C628:$F628,P_Matrix)</f>
        <v>989991.66541369399</v>
      </c>
      <c r="I629" s="14">
        <v>860136.44462192606</v>
      </c>
      <c r="J629" s="14">
        <v>47992.946996550192</v>
      </c>
      <c r="K629" s="14">
        <v>139179.5463886403</v>
      </c>
      <c r="M629" s="12">
        <f>MAX((Inputs!F$25*POWER(1+(Inputs!$C$3-(Inputs!$C$3*(('Steady State'!$A629-1)/Inputs!$C$4))),'Steady State'!$A629-1)),M628)</f>
        <v>48712.842776949758</v>
      </c>
      <c r="N629" s="12">
        <f>MAX((Inputs!G$25*POWER(1+(Inputs!$C$3-(Inputs!$C$3*(('Steady State'!$A629-1)/Inputs!$C$4))),'Steady State'!$A629-1)),N628)</f>
        <v>20876.932618692754</v>
      </c>
      <c r="O629" s="12">
        <v>0</v>
      </c>
      <c r="P629" s="12">
        <v>0</v>
      </c>
    </row>
    <row r="630" spans="1:16" x14ac:dyDescent="0.35">
      <c r="A630">
        <v>628</v>
      </c>
      <c r="C630" s="14">
        <f t="shared" si="37"/>
        <v>1038704.508948216</v>
      </c>
      <c r="D630" s="14">
        <f t="shared" si="38"/>
        <v>881013.37851092091</v>
      </c>
      <c r="E630" s="14">
        <f t="shared" si="39"/>
        <v>47992.947052242744</v>
      </c>
      <c r="F630" s="14">
        <f t="shared" si="36"/>
        <v>69589.773312075413</v>
      </c>
      <c r="H630" s="14" cm="1">
        <f t="array" ref="H630:K630">MMULT($C629:$F629,P_Matrix)</f>
        <v>989991.66617126623</v>
      </c>
      <c r="I630" s="14">
        <v>860136.44589222816</v>
      </c>
      <c r="J630" s="14">
        <v>47992.947052242744</v>
      </c>
      <c r="K630" s="14">
        <v>139179.54654660926</v>
      </c>
      <c r="M630" s="12">
        <f>MAX((Inputs!F$25*POWER(1+(Inputs!$C$3-(Inputs!$C$3*(('Steady State'!$A630-1)/Inputs!$C$4))),'Steady State'!$A630-1)),M629)</f>
        <v>48712.842776949758</v>
      </c>
      <c r="N630" s="12">
        <f>MAX((Inputs!G$25*POWER(1+(Inputs!$C$3-(Inputs!$C$3*(('Steady State'!$A630-1)/Inputs!$C$4))),'Steady State'!$A630-1)),N629)</f>
        <v>20876.932618692754</v>
      </c>
      <c r="O630" s="12">
        <v>0</v>
      </c>
      <c r="P630" s="12">
        <v>0</v>
      </c>
    </row>
    <row r="631" spans="1:16" x14ac:dyDescent="0.35">
      <c r="A631">
        <v>629</v>
      </c>
      <c r="C631" s="14">
        <f t="shared" si="37"/>
        <v>1038704.5096786061</v>
      </c>
      <c r="D631" s="14">
        <f t="shared" si="38"/>
        <v>881013.37973564398</v>
      </c>
      <c r="E631" s="14">
        <f t="shared" si="39"/>
        <v>47992.947105937012</v>
      </c>
      <c r="F631" s="14">
        <f t="shared" si="36"/>
        <v>69589.7733868348</v>
      </c>
      <c r="H631" s="14" cm="1">
        <f t="array" ref="H631:K631">MMULT($C630:$F630,P_Matrix)</f>
        <v>989991.66690165631</v>
      </c>
      <c r="I631" s="14">
        <v>860136.44711695123</v>
      </c>
      <c r="J631" s="14">
        <v>47992.947105937012</v>
      </c>
      <c r="K631" s="14">
        <v>139179.54669891021</v>
      </c>
      <c r="M631" s="12">
        <f>MAX((Inputs!F$25*POWER(1+(Inputs!$C$3-(Inputs!$C$3*(('Steady State'!$A631-1)/Inputs!$C$4))),'Steady State'!$A631-1)),M630)</f>
        <v>48712.842776949758</v>
      </c>
      <c r="N631" s="12">
        <f>MAX((Inputs!G$25*POWER(1+(Inputs!$C$3-(Inputs!$C$3*(('Steady State'!$A631-1)/Inputs!$C$4))),'Steady State'!$A631-1)),N630)</f>
        <v>20876.932618692754</v>
      </c>
      <c r="O631" s="12">
        <v>0</v>
      </c>
      <c r="P631" s="12">
        <v>0</v>
      </c>
    </row>
    <row r="632" spans="1:16" x14ac:dyDescent="0.35">
      <c r="A632">
        <v>630</v>
      </c>
      <c r="C632" s="14">
        <f t="shared" si="37"/>
        <v>1038704.5103827894</v>
      </c>
      <c r="D632" s="14">
        <f t="shared" si="38"/>
        <v>881013.38091642351</v>
      </c>
      <c r="E632" s="14">
        <f t="shared" si="39"/>
        <v>47992.947157704708</v>
      </c>
      <c r="F632" s="14">
        <f t="shared" si="36"/>
        <v>69589.773458911746</v>
      </c>
      <c r="H632" s="14" cm="1">
        <f t="array" ref="H632:K632">MMULT($C631:$F631,P_Matrix)</f>
        <v>989991.66760583967</v>
      </c>
      <c r="I632" s="14">
        <v>860136.44829773076</v>
      </c>
      <c r="J632" s="14">
        <v>47992.947157704708</v>
      </c>
      <c r="K632" s="14">
        <v>139179.54684574655</v>
      </c>
      <c r="M632" s="12">
        <f>MAX((Inputs!F$25*POWER(1+(Inputs!$C$3-(Inputs!$C$3*(('Steady State'!$A632-1)/Inputs!$C$4))),'Steady State'!$A632-1)),M631)</f>
        <v>48712.842776949758</v>
      </c>
      <c r="N632" s="12">
        <f>MAX((Inputs!G$25*POWER(1+(Inputs!$C$3-(Inputs!$C$3*(('Steady State'!$A632-1)/Inputs!$C$4))),'Steady State'!$A632-1)),N631)</f>
        <v>20876.932618692754</v>
      </c>
      <c r="O632" s="12">
        <v>0</v>
      </c>
      <c r="P632" s="12">
        <v>0</v>
      </c>
    </row>
    <row r="633" spans="1:16" x14ac:dyDescent="0.35">
      <c r="A633">
        <v>631</v>
      </c>
      <c r="C633" s="14">
        <f t="shared" si="37"/>
        <v>1038704.5110617066</v>
      </c>
      <c r="D633" s="14">
        <f t="shared" si="38"/>
        <v>881013.38205483614</v>
      </c>
      <c r="E633" s="14">
        <f t="shared" si="39"/>
        <v>47992.947207614954</v>
      </c>
      <c r="F633" s="14">
        <f t="shared" si="36"/>
        <v>69589.773528402555</v>
      </c>
      <c r="H633" s="14" cm="1">
        <f t="array" ref="H633:K633">MMULT($C632:$F632,P_Matrix)</f>
        <v>989991.66828475683</v>
      </c>
      <c r="I633" s="14">
        <v>860136.44943614339</v>
      </c>
      <c r="J633" s="14">
        <v>47992.947207614954</v>
      </c>
      <c r="K633" s="14">
        <v>139179.5469873143</v>
      </c>
      <c r="M633" s="12">
        <f>MAX((Inputs!F$25*POWER(1+(Inputs!$C$3-(Inputs!$C$3*(('Steady State'!$A633-1)/Inputs!$C$4))),'Steady State'!$A633-1)),M632)</f>
        <v>48712.842776949758</v>
      </c>
      <c r="N633" s="12">
        <f>MAX((Inputs!G$25*POWER(1+(Inputs!$C$3-(Inputs!$C$3*(('Steady State'!$A633-1)/Inputs!$C$4))),'Steady State'!$A633-1)),N632)</f>
        <v>20876.932618692754</v>
      </c>
      <c r="O633" s="12">
        <v>0</v>
      </c>
      <c r="P633" s="12">
        <v>0</v>
      </c>
    </row>
    <row r="634" spans="1:16" x14ac:dyDescent="0.35">
      <c r="A634">
        <v>632</v>
      </c>
      <c r="C634" s="14">
        <f t="shared" si="37"/>
        <v>1038704.5117162637</v>
      </c>
      <c r="D634" s="14">
        <f t="shared" si="38"/>
        <v>881013.38315240189</v>
      </c>
      <c r="E634" s="14">
        <f t="shared" si="39"/>
        <v>47992.947255734398</v>
      </c>
      <c r="F634" s="14">
        <f t="shared" si="36"/>
        <v>69589.773595400038</v>
      </c>
      <c r="H634" s="14" cm="1">
        <f t="array" ref="H634:K634">MMULT($C633:$F633,P_Matrix)</f>
        <v>989991.66893931397</v>
      </c>
      <c r="I634" s="14">
        <v>860136.45053370914</v>
      </c>
      <c r="J634" s="14">
        <v>47992.947255734398</v>
      </c>
      <c r="K634" s="14">
        <v>139179.54712380259</v>
      </c>
      <c r="M634" s="12">
        <f>MAX((Inputs!F$25*POWER(1+(Inputs!$C$3-(Inputs!$C$3*(('Steady State'!$A634-1)/Inputs!$C$4))),'Steady State'!$A634-1)),M633)</f>
        <v>48712.842776949758</v>
      </c>
      <c r="N634" s="12">
        <f>MAX((Inputs!G$25*POWER(1+(Inputs!$C$3-(Inputs!$C$3*(('Steady State'!$A634-1)/Inputs!$C$4))),'Steady State'!$A634-1)),N633)</f>
        <v>20876.932618692754</v>
      </c>
      <c r="O634" s="12">
        <v>0</v>
      </c>
      <c r="P634" s="12">
        <v>0</v>
      </c>
    </row>
    <row r="635" spans="1:16" x14ac:dyDescent="0.35">
      <c r="A635">
        <v>633</v>
      </c>
      <c r="C635" s="14">
        <f t="shared" si="37"/>
        <v>1038704.512347335</v>
      </c>
      <c r="D635" s="14">
        <f t="shared" si="38"/>
        <v>881013.38421058643</v>
      </c>
      <c r="E635" s="14">
        <f t="shared" si="39"/>
        <v>47992.947302127293</v>
      </c>
      <c r="F635" s="14">
        <f t="shared" si="36"/>
        <v>69589.773659993574</v>
      </c>
      <c r="H635" s="14" cm="1">
        <f t="array" ref="H635:K635">MMULT($C634:$F634,P_Matrix)</f>
        <v>989991.66957038525</v>
      </c>
      <c r="I635" s="14">
        <v>860136.45159189368</v>
      </c>
      <c r="J635" s="14">
        <v>47992.947302127293</v>
      </c>
      <c r="K635" s="14">
        <v>139179.54725539361</v>
      </c>
      <c r="M635" s="12">
        <f>MAX((Inputs!F$25*POWER(1+(Inputs!$C$3-(Inputs!$C$3*(('Steady State'!$A635-1)/Inputs!$C$4))),'Steady State'!$A635-1)),M634)</f>
        <v>48712.842776949758</v>
      </c>
      <c r="N635" s="12">
        <f>MAX((Inputs!G$25*POWER(1+(Inputs!$C$3-(Inputs!$C$3*(('Steady State'!$A635-1)/Inputs!$C$4))),'Steady State'!$A635-1)),N634)</f>
        <v>20876.932618692754</v>
      </c>
      <c r="O635" s="12">
        <v>0</v>
      </c>
      <c r="P635" s="12">
        <v>0</v>
      </c>
    </row>
    <row r="636" spans="1:16" x14ac:dyDescent="0.35">
      <c r="A636">
        <v>634</v>
      </c>
      <c r="C636" s="14">
        <f t="shared" si="37"/>
        <v>1038704.5129557633</v>
      </c>
      <c r="D636" s="14">
        <f t="shared" si="38"/>
        <v>881013.38523080293</v>
      </c>
      <c r="E636" s="14">
        <f t="shared" si="39"/>
        <v>47992.947346855595</v>
      </c>
      <c r="F636" s="14">
        <f t="shared" si="36"/>
        <v>69589.773722269485</v>
      </c>
      <c r="H636" s="14" cm="1">
        <f t="array" ref="H636:K636">MMULT($C635:$F635,P_Matrix)</f>
        <v>989991.67017881351</v>
      </c>
      <c r="I636" s="14">
        <v>860136.45261211018</v>
      </c>
      <c r="J636" s="14">
        <v>47992.947346855595</v>
      </c>
      <c r="K636" s="14">
        <v>139179.54738226306</v>
      </c>
      <c r="M636" s="12">
        <f>MAX((Inputs!F$25*POWER(1+(Inputs!$C$3-(Inputs!$C$3*(('Steady State'!$A636-1)/Inputs!$C$4))),'Steady State'!$A636-1)),M635)</f>
        <v>48712.842776949758</v>
      </c>
      <c r="N636" s="12">
        <f>MAX((Inputs!G$25*POWER(1+(Inputs!$C$3-(Inputs!$C$3*(('Steady State'!$A636-1)/Inputs!$C$4))),'Steady State'!$A636-1)),N635)</f>
        <v>20876.932618692754</v>
      </c>
      <c r="O636" s="12">
        <v>0</v>
      </c>
      <c r="P636" s="12">
        <v>0</v>
      </c>
    </row>
    <row r="637" spans="1:16" x14ac:dyDescent="0.35">
      <c r="A637">
        <v>635</v>
      </c>
      <c r="C637" s="14">
        <f t="shared" si="37"/>
        <v>1038704.5135423607</v>
      </c>
      <c r="D637" s="14">
        <f t="shared" si="38"/>
        <v>881013.38621441345</v>
      </c>
      <c r="E637" s="14">
        <f t="shared" si="39"/>
        <v>47992.947389979017</v>
      </c>
      <c r="F637" s="14">
        <f t="shared" si="36"/>
        <v>69589.773782310891</v>
      </c>
      <c r="H637" s="14" cm="1">
        <f t="array" ref="H637:K637">MMULT($C636:$F636,P_Matrix)</f>
        <v>989991.67076541099</v>
      </c>
      <c r="I637" s="14">
        <v>860136.4535957207</v>
      </c>
      <c r="J637" s="14">
        <v>47992.947389979017</v>
      </c>
      <c r="K637" s="14">
        <v>139179.54750458038</v>
      </c>
      <c r="M637" s="12">
        <f>MAX((Inputs!F$25*POWER(1+(Inputs!$C$3-(Inputs!$C$3*(('Steady State'!$A637-1)/Inputs!$C$4))),'Steady State'!$A637-1)),M636)</f>
        <v>48712.842776949758</v>
      </c>
      <c r="N637" s="12">
        <f>MAX((Inputs!G$25*POWER(1+(Inputs!$C$3-(Inputs!$C$3*(('Steady State'!$A637-1)/Inputs!$C$4))),'Steady State'!$A637-1)),N636)</f>
        <v>20876.932618692754</v>
      </c>
      <c r="O637" s="12">
        <v>0</v>
      </c>
      <c r="P637" s="12">
        <v>0</v>
      </c>
    </row>
    <row r="638" spans="1:16" x14ac:dyDescent="0.35">
      <c r="A638">
        <v>636</v>
      </c>
      <c r="C638" s="14">
        <f t="shared" si="37"/>
        <v>1038704.5141079108</v>
      </c>
      <c r="D638" s="14">
        <f t="shared" si="38"/>
        <v>881013.38716273161</v>
      </c>
      <c r="E638" s="14">
        <f t="shared" si="39"/>
        <v>47992.947431555156</v>
      </c>
      <c r="F638" s="14">
        <f t="shared" si="36"/>
        <v>69589.773840197973</v>
      </c>
      <c r="H638" s="14" cm="1">
        <f t="array" ref="H638:K638">MMULT($C637:$F637,P_Matrix)</f>
        <v>989991.67133096105</v>
      </c>
      <c r="I638" s="14">
        <v>860136.45454403886</v>
      </c>
      <c r="J638" s="14">
        <v>47992.947431555156</v>
      </c>
      <c r="K638" s="14">
        <v>139179.54762250886</v>
      </c>
      <c r="M638" s="12">
        <f>MAX((Inputs!F$25*POWER(1+(Inputs!$C$3-(Inputs!$C$3*(('Steady State'!$A638-1)/Inputs!$C$4))),'Steady State'!$A638-1)),M637)</f>
        <v>48712.842776949758</v>
      </c>
      <c r="N638" s="12">
        <f>MAX((Inputs!G$25*POWER(1+(Inputs!$C$3-(Inputs!$C$3*(('Steady State'!$A638-1)/Inputs!$C$4))),'Steady State'!$A638-1)),N637)</f>
        <v>20876.932618692754</v>
      </c>
      <c r="O638" s="12">
        <v>0</v>
      </c>
      <c r="P638" s="12">
        <v>0</v>
      </c>
    </row>
    <row r="639" spans="1:16" x14ac:dyDescent="0.35">
      <c r="A639">
        <v>637</v>
      </c>
      <c r="C639" s="14">
        <f t="shared" si="37"/>
        <v>1038704.5146531686</v>
      </c>
      <c r="D639" s="14">
        <f t="shared" si="38"/>
        <v>881013.38807702379</v>
      </c>
      <c r="E639" s="14">
        <f t="shared" si="39"/>
        <v>47992.94747163952</v>
      </c>
      <c r="F639" s="14">
        <f t="shared" si="36"/>
        <v>69589.773896008061</v>
      </c>
      <c r="H639" s="14" cm="1">
        <f t="array" ref="H639:K639">MMULT($C638:$F638,P_Matrix)</f>
        <v>989991.67187621887</v>
      </c>
      <c r="I639" s="14">
        <v>860136.45545833104</v>
      </c>
      <c r="J639" s="14">
        <v>47992.94747163952</v>
      </c>
      <c r="K639" s="14">
        <v>139179.54773620603</v>
      </c>
      <c r="M639" s="12">
        <f>MAX((Inputs!F$25*POWER(1+(Inputs!$C$3-(Inputs!$C$3*(('Steady State'!$A639-1)/Inputs!$C$4))),'Steady State'!$A639-1)),M638)</f>
        <v>48712.842776949758</v>
      </c>
      <c r="N639" s="12">
        <f>MAX((Inputs!G$25*POWER(1+(Inputs!$C$3-(Inputs!$C$3*(('Steady State'!$A639-1)/Inputs!$C$4))),'Steady State'!$A639-1)),N638)</f>
        <v>20876.932618692754</v>
      </c>
      <c r="O639" s="12">
        <v>0</v>
      </c>
      <c r="P639" s="12">
        <v>0</v>
      </c>
    </row>
    <row r="640" spans="1:16" x14ac:dyDescent="0.35">
      <c r="A640">
        <v>638</v>
      </c>
      <c r="C640" s="14">
        <f t="shared" si="37"/>
        <v>1038704.5151788624</v>
      </c>
      <c r="D640" s="14">
        <f t="shared" si="38"/>
        <v>881013.38895851059</v>
      </c>
      <c r="E640" s="14">
        <f t="shared" si="39"/>
        <v>47992.947510285638</v>
      </c>
      <c r="F640" s="14">
        <f t="shared" si="36"/>
        <v>69589.773949815659</v>
      </c>
      <c r="H640" s="14" cm="1">
        <f t="array" ref="H640:K640">MMULT($C639:$F639,P_Matrix)</f>
        <v>989991.67240191263</v>
      </c>
      <c r="I640" s="14">
        <v>860136.45633981784</v>
      </c>
      <c r="J640" s="14">
        <v>47992.947510285638</v>
      </c>
      <c r="K640" s="14">
        <v>139179.54784582372</v>
      </c>
      <c r="M640" s="12">
        <f>MAX((Inputs!F$25*POWER(1+(Inputs!$C$3-(Inputs!$C$3*(('Steady State'!$A640-1)/Inputs!$C$4))),'Steady State'!$A640-1)),M639)</f>
        <v>48712.842776949758</v>
      </c>
      <c r="N640" s="12">
        <f>MAX((Inputs!G$25*POWER(1+(Inputs!$C$3-(Inputs!$C$3*(('Steady State'!$A640-1)/Inputs!$C$4))),'Steady State'!$A640-1)),N639)</f>
        <v>20876.932618692754</v>
      </c>
      <c r="O640" s="12">
        <v>0</v>
      </c>
      <c r="P640" s="12">
        <v>0</v>
      </c>
    </row>
    <row r="641" spans="1:16" x14ac:dyDescent="0.35">
      <c r="A641">
        <v>639</v>
      </c>
      <c r="C641" s="14">
        <f t="shared" si="37"/>
        <v>1038704.5156856941</v>
      </c>
      <c r="D641" s="14">
        <f t="shared" si="38"/>
        <v>881013.38980836933</v>
      </c>
      <c r="E641" s="14">
        <f t="shared" si="39"/>
        <v>47992.947547545111</v>
      </c>
      <c r="F641" s="14">
        <f t="shared" si="36"/>
        <v>69589.774001692596</v>
      </c>
      <c r="H641" s="14" cm="1">
        <f t="array" ref="H641:K641">MMULT($C640:$F640,P_Matrix)</f>
        <v>989991.67290874431</v>
      </c>
      <c r="I641" s="14">
        <v>860136.45718967658</v>
      </c>
      <c r="J641" s="14">
        <v>47992.947547545111</v>
      </c>
      <c r="K641" s="14">
        <v>139179.54795150826</v>
      </c>
      <c r="M641" s="12">
        <f>MAX((Inputs!F$25*POWER(1+(Inputs!$C$3-(Inputs!$C$3*(('Steady State'!$A641-1)/Inputs!$C$4))),'Steady State'!$A641-1)),M640)</f>
        <v>48712.842776949758</v>
      </c>
      <c r="N641" s="12">
        <f>MAX((Inputs!G$25*POWER(1+(Inputs!$C$3-(Inputs!$C$3*(('Steady State'!$A641-1)/Inputs!$C$4))),'Steady State'!$A641-1)),N640)</f>
        <v>20876.932618692754</v>
      </c>
      <c r="O641" s="12">
        <v>0</v>
      </c>
      <c r="P641" s="12">
        <v>0</v>
      </c>
    </row>
    <row r="642" spans="1:16" x14ac:dyDescent="0.35">
      <c r="A642">
        <v>640</v>
      </c>
      <c r="C642" s="14">
        <f t="shared" si="37"/>
        <v>1038704.5161743404</v>
      </c>
      <c r="D642" s="14">
        <f t="shared" si="38"/>
        <v>881013.39062773471</v>
      </c>
      <c r="E642" s="14">
        <f t="shared" si="39"/>
        <v>47992.9475834677</v>
      </c>
      <c r="F642" s="14">
        <f t="shared" si="36"/>
        <v>69589.774051708169</v>
      </c>
      <c r="H642" s="14" cm="1">
        <f t="array" ref="H642:K642">MMULT($C641:$F641,P_Matrix)</f>
        <v>989991.67339739064</v>
      </c>
      <c r="I642" s="14">
        <v>860136.45800904196</v>
      </c>
      <c r="J642" s="14">
        <v>47992.9475834677</v>
      </c>
      <c r="K642" s="14">
        <v>139179.54805340077</v>
      </c>
      <c r="M642" s="12">
        <f>MAX((Inputs!F$25*POWER(1+(Inputs!$C$3-(Inputs!$C$3*(('Steady State'!$A642-1)/Inputs!$C$4))),'Steady State'!$A642-1)),M641)</f>
        <v>48712.842776949758</v>
      </c>
      <c r="N642" s="12">
        <f>MAX((Inputs!G$25*POWER(1+(Inputs!$C$3-(Inputs!$C$3*(('Steady State'!$A642-1)/Inputs!$C$4))),'Steady State'!$A642-1)),N641)</f>
        <v>20876.932618692754</v>
      </c>
      <c r="O642" s="12">
        <v>0</v>
      </c>
      <c r="P642" s="12">
        <v>0</v>
      </c>
    </row>
    <row r="643" spans="1:16" x14ac:dyDescent="0.35">
      <c r="A643">
        <v>641</v>
      </c>
      <c r="C643" s="14">
        <f t="shared" si="37"/>
        <v>1038704.5166454538</v>
      </c>
      <c r="D643" s="14">
        <f t="shared" si="38"/>
        <v>881013.39141770091</v>
      </c>
      <c r="E643" s="14">
        <f t="shared" si="39"/>
        <v>47992.947618101374</v>
      </c>
      <c r="F643" s="14">
        <f t="shared" ref="F643:F706" si="40">(K643+P643)-F642</f>
        <v>69589.774099929171</v>
      </c>
      <c r="H643" s="14" cm="1">
        <f t="array" ref="H643:K643">MMULT($C642:$F642,P_Matrix)</f>
        <v>989991.673868504</v>
      </c>
      <c r="I643" s="14">
        <v>860136.45879900816</v>
      </c>
      <c r="J643" s="14">
        <v>47992.947618101374</v>
      </c>
      <c r="K643" s="14">
        <v>139179.54815163734</v>
      </c>
      <c r="M643" s="12">
        <f>MAX((Inputs!F$25*POWER(1+(Inputs!$C$3-(Inputs!$C$3*(('Steady State'!$A643-1)/Inputs!$C$4))),'Steady State'!$A643-1)),M642)</f>
        <v>48712.842776949758</v>
      </c>
      <c r="N643" s="12">
        <f>MAX((Inputs!G$25*POWER(1+(Inputs!$C$3-(Inputs!$C$3*(('Steady State'!$A643-1)/Inputs!$C$4))),'Steady State'!$A643-1)),N642)</f>
        <v>20876.932618692754</v>
      </c>
      <c r="O643" s="12">
        <v>0</v>
      </c>
      <c r="P643" s="12">
        <v>0</v>
      </c>
    </row>
    <row r="644" spans="1:16" x14ac:dyDescent="0.35">
      <c r="A644">
        <v>642</v>
      </c>
      <c r="C644" s="14">
        <f t="shared" ref="C644:C707" si="41">H644+M644</f>
        <v>1038704.5170996633</v>
      </c>
      <c r="D644" s="14">
        <f t="shared" ref="D644:D707" si="42">I644+N644</f>
        <v>881013.39217932266</v>
      </c>
      <c r="E644" s="14">
        <f t="shared" ref="E644:E707" si="43">J644+O644</f>
        <v>47992.947651492374</v>
      </c>
      <c r="F644" s="14">
        <f t="shared" si="40"/>
        <v>69589.774146419979</v>
      </c>
      <c r="H644" s="14" cm="1">
        <f t="array" ref="H644:K644">MMULT($C643:$F643,P_Matrix)</f>
        <v>989991.67432271352</v>
      </c>
      <c r="I644" s="14">
        <v>860136.45956062991</v>
      </c>
      <c r="J644" s="14">
        <v>47992.947651492374</v>
      </c>
      <c r="K644" s="14">
        <v>139179.54824634915</v>
      </c>
      <c r="M644" s="12">
        <f>MAX((Inputs!F$25*POWER(1+(Inputs!$C$3-(Inputs!$C$3*(('Steady State'!$A644-1)/Inputs!$C$4))),'Steady State'!$A644-1)),M643)</f>
        <v>48712.842776949758</v>
      </c>
      <c r="N644" s="12">
        <f>MAX((Inputs!G$25*POWER(1+(Inputs!$C$3-(Inputs!$C$3*(('Steady State'!$A644-1)/Inputs!$C$4))),'Steady State'!$A644-1)),N643)</f>
        <v>20876.932618692754</v>
      </c>
      <c r="O644" s="12">
        <v>0</v>
      </c>
      <c r="P644" s="12">
        <v>0</v>
      </c>
    </row>
    <row r="645" spans="1:16" x14ac:dyDescent="0.35">
      <c r="A645">
        <v>643</v>
      </c>
      <c r="C645" s="14">
        <f t="shared" si="41"/>
        <v>1038704.5175375756</v>
      </c>
      <c r="D645" s="14">
        <f t="shared" si="42"/>
        <v>881013.39291361708</v>
      </c>
      <c r="E645" s="14">
        <f t="shared" si="43"/>
        <v>47992.947683685285</v>
      </c>
      <c r="F645" s="14">
        <f t="shared" si="40"/>
        <v>69589.774191242672</v>
      </c>
      <c r="H645" s="14" cm="1">
        <f t="array" ref="H645:K645">MMULT($C644:$F644,P_Matrix)</f>
        <v>989991.67476062581</v>
      </c>
      <c r="I645" s="14">
        <v>860136.46029492433</v>
      </c>
      <c r="J645" s="14">
        <v>47992.947683685285</v>
      </c>
      <c r="K645" s="14">
        <v>139179.54833766265</v>
      </c>
      <c r="M645" s="12">
        <f>MAX((Inputs!F$25*POWER(1+(Inputs!$C$3-(Inputs!$C$3*(('Steady State'!$A645-1)/Inputs!$C$4))),'Steady State'!$A645-1)),M644)</f>
        <v>48712.842776949758</v>
      </c>
      <c r="N645" s="12">
        <f>MAX((Inputs!G$25*POWER(1+(Inputs!$C$3-(Inputs!$C$3*(('Steady State'!$A645-1)/Inputs!$C$4))),'Steady State'!$A645-1)),N644)</f>
        <v>20876.932618692754</v>
      </c>
      <c r="O645" s="12">
        <v>0</v>
      </c>
      <c r="P645" s="12">
        <v>0</v>
      </c>
    </row>
    <row r="646" spans="1:16" x14ac:dyDescent="0.35">
      <c r="A646">
        <v>644</v>
      </c>
      <c r="C646" s="14">
        <f t="shared" si="41"/>
        <v>1038704.5179597754</v>
      </c>
      <c r="D646" s="14">
        <f t="shared" si="42"/>
        <v>881013.39362156473</v>
      </c>
      <c r="E646" s="14">
        <f t="shared" si="43"/>
        <v>47992.947714723094</v>
      </c>
      <c r="F646" s="14">
        <f t="shared" si="40"/>
        <v>69589.774234457087</v>
      </c>
      <c r="H646" s="14" cm="1">
        <f t="array" ref="H646:K646">MMULT($C645:$F645,P_Matrix)</f>
        <v>989991.67518282565</v>
      </c>
      <c r="I646" s="14">
        <v>860136.46100287198</v>
      </c>
      <c r="J646" s="14">
        <v>47992.947714723094</v>
      </c>
      <c r="K646" s="14">
        <v>139179.54842569976</v>
      </c>
      <c r="M646" s="12">
        <f>MAX((Inputs!F$25*POWER(1+(Inputs!$C$3-(Inputs!$C$3*(('Steady State'!$A646-1)/Inputs!$C$4))),'Steady State'!$A646-1)),M645)</f>
        <v>48712.842776949758</v>
      </c>
      <c r="N646" s="12">
        <f>MAX((Inputs!G$25*POWER(1+(Inputs!$C$3-(Inputs!$C$3*(('Steady State'!$A646-1)/Inputs!$C$4))),'Steady State'!$A646-1)),N645)</f>
        <v>20876.932618692754</v>
      </c>
      <c r="O646" s="12">
        <v>0</v>
      </c>
      <c r="P646" s="12">
        <v>0</v>
      </c>
    </row>
    <row r="647" spans="1:16" x14ac:dyDescent="0.35">
      <c r="A647">
        <v>645</v>
      </c>
      <c r="C647" s="14">
        <f t="shared" si="41"/>
        <v>1038704.5183668266</v>
      </c>
      <c r="D647" s="14">
        <f t="shared" si="42"/>
        <v>881013.39430411079</v>
      </c>
      <c r="E647" s="14">
        <f t="shared" si="43"/>
        <v>47992.947744647259</v>
      </c>
      <c r="F647" s="14">
        <f t="shared" si="40"/>
        <v>69589.774276120967</v>
      </c>
      <c r="H647" s="14" cm="1">
        <f t="array" ref="H647:K647">MMULT($C646:$F646,P_Matrix)</f>
        <v>989991.67558987683</v>
      </c>
      <c r="I647" s="14">
        <v>860136.46168541803</v>
      </c>
      <c r="J647" s="14">
        <v>47992.947744647259</v>
      </c>
      <c r="K647" s="14">
        <v>139179.54851057805</v>
      </c>
      <c r="M647" s="12">
        <f>MAX((Inputs!F$25*POWER(1+(Inputs!$C$3-(Inputs!$C$3*(('Steady State'!$A647-1)/Inputs!$C$4))),'Steady State'!$A647-1)),M646)</f>
        <v>48712.842776949758</v>
      </c>
      <c r="N647" s="12">
        <f>MAX((Inputs!G$25*POWER(1+(Inputs!$C$3-(Inputs!$C$3*(('Steady State'!$A647-1)/Inputs!$C$4))),'Steady State'!$A647-1)),N646)</f>
        <v>20876.932618692754</v>
      </c>
      <c r="O647" s="12">
        <v>0</v>
      </c>
      <c r="P647" s="12">
        <v>0</v>
      </c>
    </row>
    <row r="648" spans="1:16" x14ac:dyDescent="0.35">
      <c r="A648">
        <v>646</v>
      </c>
      <c r="C648" s="14">
        <f t="shared" si="41"/>
        <v>1038704.5187592724</v>
      </c>
      <c r="D648" s="14">
        <f t="shared" si="42"/>
        <v>881013.3949621669</v>
      </c>
      <c r="E648" s="14">
        <f t="shared" si="43"/>
        <v>47992.947773497726</v>
      </c>
      <c r="F648" s="14">
        <f t="shared" si="40"/>
        <v>69589.774316289957</v>
      </c>
      <c r="H648" s="14" cm="1">
        <f t="array" ref="H648:K648">MMULT($C647:$F647,P_Matrix)</f>
        <v>989991.67598232266</v>
      </c>
      <c r="I648" s="14">
        <v>860136.46234347415</v>
      </c>
      <c r="J648" s="14">
        <v>47992.947773497726</v>
      </c>
      <c r="K648" s="14">
        <v>139179.54859241092</v>
      </c>
      <c r="M648" s="12">
        <f>MAX((Inputs!F$25*POWER(1+(Inputs!$C$3-(Inputs!$C$3*(('Steady State'!$A648-1)/Inputs!$C$4))),'Steady State'!$A648-1)),M647)</f>
        <v>48712.842776949758</v>
      </c>
      <c r="N648" s="12">
        <f>MAX((Inputs!G$25*POWER(1+(Inputs!$C$3-(Inputs!$C$3*(('Steady State'!$A648-1)/Inputs!$C$4))),'Steady State'!$A648-1)),N647)</f>
        <v>20876.932618692754</v>
      </c>
      <c r="O648" s="12">
        <v>0</v>
      </c>
      <c r="P648" s="12">
        <v>0</v>
      </c>
    </row>
    <row r="649" spans="1:16" x14ac:dyDescent="0.35">
      <c r="A649">
        <v>647</v>
      </c>
      <c r="C649" s="14">
        <f t="shared" si="41"/>
        <v>1038704.5191376372</v>
      </c>
      <c r="D649" s="14">
        <f t="shared" si="42"/>
        <v>881013.39559661166</v>
      </c>
      <c r="E649" s="14">
        <f t="shared" si="43"/>
        <v>47992.947801313028</v>
      </c>
      <c r="F649" s="14">
        <f t="shared" si="40"/>
        <v>69589.774355017609</v>
      </c>
      <c r="H649" s="14" cm="1">
        <f t="array" ref="H649:K649">MMULT($C648:$F648,P_Matrix)</f>
        <v>989991.67636068747</v>
      </c>
      <c r="I649" s="14">
        <v>860136.46297791891</v>
      </c>
      <c r="J649" s="14">
        <v>47992.947801313028</v>
      </c>
      <c r="K649" s="14">
        <v>139179.54867130757</v>
      </c>
      <c r="M649" s="12">
        <f>MAX((Inputs!F$25*POWER(1+(Inputs!$C$3-(Inputs!$C$3*(('Steady State'!$A649-1)/Inputs!$C$4))),'Steady State'!$A649-1)),M648)</f>
        <v>48712.842776949758</v>
      </c>
      <c r="N649" s="12">
        <f>MAX((Inputs!G$25*POWER(1+(Inputs!$C$3-(Inputs!$C$3*(('Steady State'!$A649-1)/Inputs!$C$4))),'Steady State'!$A649-1)),N648)</f>
        <v>20876.932618692754</v>
      </c>
      <c r="O649" s="12">
        <v>0</v>
      </c>
      <c r="P649" s="12">
        <v>0</v>
      </c>
    </row>
    <row r="650" spans="1:16" x14ac:dyDescent="0.35">
      <c r="A650">
        <v>648</v>
      </c>
      <c r="C650" s="14">
        <f t="shared" si="41"/>
        <v>1038704.5195024261</v>
      </c>
      <c r="D650" s="14">
        <f t="shared" si="42"/>
        <v>881013.39620829211</v>
      </c>
      <c r="E650" s="14">
        <f t="shared" si="43"/>
        <v>47992.947828130302</v>
      </c>
      <c r="F650" s="14">
        <f t="shared" si="40"/>
        <v>69589.774392355728</v>
      </c>
      <c r="H650" s="14" cm="1">
        <f t="array" ref="H650:K650">MMULT($C649:$F649,P_Matrix)</f>
        <v>989991.6767254764</v>
      </c>
      <c r="I650" s="14">
        <v>860136.46358959936</v>
      </c>
      <c r="J650" s="14">
        <v>47992.947828130302</v>
      </c>
      <c r="K650" s="14">
        <v>139179.54874737334</v>
      </c>
      <c r="M650" s="12">
        <f>MAX((Inputs!F$25*POWER(1+(Inputs!$C$3-(Inputs!$C$3*(('Steady State'!$A650-1)/Inputs!$C$4))),'Steady State'!$A650-1)),M649)</f>
        <v>48712.842776949758</v>
      </c>
      <c r="N650" s="12">
        <f>MAX((Inputs!G$25*POWER(1+(Inputs!$C$3-(Inputs!$C$3*(('Steady State'!$A650-1)/Inputs!$C$4))),'Steady State'!$A650-1)),N649)</f>
        <v>20876.932618692754</v>
      </c>
      <c r="O650" s="12">
        <v>0</v>
      </c>
      <c r="P650" s="12">
        <v>0</v>
      </c>
    </row>
    <row r="651" spans="1:16" x14ac:dyDescent="0.35">
      <c r="A651">
        <v>649</v>
      </c>
      <c r="C651" s="14">
        <f t="shared" si="41"/>
        <v>1038704.5198541263</v>
      </c>
      <c r="D651" s="14">
        <f t="shared" si="42"/>
        <v>881013.39679802523</v>
      </c>
      <c r="E651" s="14">
        <f t="shared" si="43"/>
        <v>47992.947853985366</v>
      </c>
      <c r="F651" s="14">
        <f t="shared" si="40"/>
        <v>69589.774428354111</v>
      </c>
      <c r="H651" s="14" cm="1">
        <f t="array" ref="H651:K651">MMULT($C650:$F650,P_Matrix)</f>
        <v>989991.67707717652</v>
      </c>
      <c r="I651" s="14">
        <v>860136.46417933248</v>
      </c>
      <c r="J651" s="14">
        <v>47992.947853985366</v>
      </c>
      <c r="K651" s="14">
        <v>139179.54882070984</v>
      </c>
      <c r="M651" s="12">
        <f>MAX((Inputs!F$25*POWER(1+(Inputs!$C$3-(Inputs!$C$3*(('Steady State'!$A651-1)/Inputs!$C$4))),'Steady State'!$A651-1)),M650)</f>
        <v>48712.842776949758</v>
      </c>
      <c r="N651" s="12">
        <f>MAX((Inputs!G$25*POWER(1+(Inputs!$C$3-(Inputs!$C$3*(('Steady State'!$A651-1)/Inputs!$C$4))),'Steady State'!$A651-1)),N650)</f>
        <v>20876.932618692754</v>
      </c>
      <c r="O651" s="12">
        <v>0</v>
      </c>
      <c r="P651" s="12">
        <v>0</v>
      </c>
    </row>
    <row r="652" spans="1:16" x14ac:dyDescent="0.35">
      <c r="A652">
        <v>650</v>
      </c>
      <c r="C652" s="14">
        <f t="shared" si="41"/>
        <v>1038704.5201932072</v>
      </c>
      <c r="D652" s="14">
        <f t="shared" si="42"/>
        <v>881013.39736659848</v>
      </c>
      <c r="E652" s="14">
        <f t="shared" si="43"/>
        <v>47992.947878912732</v>
      </c>
      <c r="F652" s="14">
        <f t="shared" si="40"/>
        <v>69589.774463060894</v>
      </c>
      <c r="H652" s="14" cm="1">
        <f t="array" ref="H652:K652">MMULT($C651:$F651,P_Matrix)</f>
        <v>989991.67741625744</v>
      </c>
      <c r="I652" s="14">
        <v>860136.46474790573</v>
      </c>
      <c r="J652" s="14">
        <v>47992.947878912732</v>
      </c>
      <c r="K652" s="14">
        <v>139179.548891415</v>
      </c>
      <c r="M652" s="12">
        <f>MAX((Inputs!F$25*POWER(1+(Inputs!$C$3-(Inputs!$C$3*(('Steady State'!$A652-1)/Inputs!$C$4))),'Steady State'!$A652-1)),M651)</f>
        <v>48712.842776949758</v>
      </c>
      <c r="N652" s="12">
        <f>MAX((Inputs!G$25*POWER(1+(Inputs!$C$3-(Inputs!$C$3*(('Steady State'!$A652-1)/Inputs!$C$4))),'Steady State'!$A652-1)),N651)</f>
        <v>20876.932618692754</v>
      </c>
      <c r="O652" s="12">
        <v>0</v>
      </c>
      <c r="P652" s="12">
        <v>0</v>
      </c>
    </row>
    <row r="653" spans="1:16" x14ac:dyDescent="0.35">
      <c r="A653">
        <v>651</v>
      </c>
      <c r="C653" s="14">
        <f t="shared" si="41"/>
        <v>1038704.5205201218</v>
      </c>
      <c r="D653" s="14">
        <f t="shared" si="42"/>
        <v>881013.39791477099</v>
      </c>
      <c r="E653" s="14">
        <f t="shared" si="43"/>
        <v>47992.9479029457</v>
      </c>
      <c r="F653" s="14">
        <f t="shared" si="40"/>
        <v>69589.774496522354</v>
      </c>
      <c r="H653" s="14" cm="1">
        <f t="array" ref="H653:K653">MMULT($C652:$F652,P_Matrix)</f>
        <v>989991.67774317204</v>
      </c>
      <c r="I653" s="14">
        <v>860136.46529607824</v>
      </c>
      <c r="J653" s="14">
        <v>47992.9479029457</v>
      </c>
      <c r="K653" s="14">
        <v>139179.54895958325</v>
      </c>
      <c r="M653" s="12">
        <f>MAX((Inputs!F$25*POWER(1+(Inputs!$C$3-(Inputs!$C$3*(('Steady State'!$A653-1)/Inputs!$C$4))),'Steady State'!$A653-1)),M652)</f>
        <v>48712.842776949758</v>
      </c>
      <c r="N653" s="12">
        <f>MAX((Inputs!G$25*POWER(1+(Inputs!$C$3-(Inputs!$C$3*(('Steady State'!$A653-1)/Inputs!$C$4))),'Steady State'!$A653-1)),N652)</f>
        <v>20876.932618692754</v>
      </c>
      <c r="O653" s="12">
        <v>0</v>
      </c>
      <c r="P653" s="12">
        <v>0</v>
      </c>
    </row>
    <row r="654" spans="1:16" x14ac:dyDescent="0.35">
      <c r="A654">
        <v>652</v>
      </c>
      <c r="C654" s="14">
        <f t="shared" si="41"/>
        <v>1038704.5208353065</v>
      </c>
      <c r="D654" s="14">
        <f t="shared" si="42"/>
        <v>881013.39844327478</v>
      </c>
      <c r="E654" s="14">
        <f t="shared" si="43"/>
        <v>47992.947926116351</v>
      </c>
      <c r="F654" s="14">
        <f t="shared" si="40"/>
        <v>69589.774528783193</v>
      </c>
      <c r="H654" s="14" cm="1">
        <f t="array" ref="H654:K654">MMULT($C653:$F653,P_Matrix)</f>
        <v>989991.67805835675</v>
      </c>
      <c r="I654" s="14">
        <v>860136.46582458203</v>
      </c>
      <c r="J654" s="14">
        <v>47992.947926116351</v>
      </c>
      <c r="K654" s="14">
        <v>139179.54902530555</v>
      </c>
      <c r="M654" s="12">
        <f>MAX((Inputs!F$25*POWER(1+(Inputs!$C$3-(Inputs!$C$3*(('Steady State'!$A654-1)/Inputs!$C$4))),'Steady State'!$A654-1)),M653)</f>
        <v>48712.842776949758</v>
      </c>
      <c r="N654" s="12">
        <f>MAX((Inputs!G$25*POWER(1+(Inputs!$C$3-(Inputs!$C$3*(('Steady State'!$A654-1)/Inputs!$C$4))),'Steady State'!$A654-1)),N653)</f>
        <v>20876.932618692754</v>
      </c>
      <c r="O654" s="12">
        <v>0</v>
      </c>
      <c r="P654" s="12">
        <v>0</v>
      </c>
    </row>
    <row r="655" spans="1:16" x14ac:dyDescent="0.35">
      <c r="A655">
        <v>653</v>
      </c>
      <c r="C655" s="14">
        <f t="shared" si="41"/>
        <v>1038704.5211391822</v>
      </c>
      <c r="D655" s="14">
        <f t="shared" si="42"/>
        <v>881013.39895281568</v>
      </c>
      <c r="E655" s="14">
        <f t="shared" si="43"/>
        <v>47992.947948455621</v>
      </c>
      <c r="F655" s="14">
        <f t="shared" si="40"/>
        <v>69589.774559886515</v>
      </c>
      <c r="H655" s="14" cm="1">
        <f t="array" ref="H655:K655">MMULT($C654:$F654,P_Matrix)</f>
        <v>989991.6783622324</v>
      </c>
      <c r="I655" s="14">
        <v>860136.46633412293</v>
      </c>
      <c r="J655" s="14">
        <v>47992.947948455621</v>
      </c>
      <c r="K655" s="14">
        <v>139179.54908866971</v>
      </c>
      <c r="M655" s="12">
        <f>MAX((Inputs!F$25*POWER(1+(Inputs!$C$3-(Inputs!$C$3*(('Steady State'!$A655-1)/Inputs!$C$4))),'Steady State'!$A655-1)),M654)</f>
        <v>48712.842776949758</v>
      </c>
      <c r="N655" s="12">
        <f>MAX((Inputs!G$25*POWER(1+(Inputs!$C$3-(Inputs!$C$3*(('Steady State'!$A655-1)/Inputs!$C$4))),'Steady State'!$A655-1)),N654)</f>
        <v>20876.932618692754</v>
      </c>
      <c r="O655" s="12">
        <v>0</v>
      </c>
      <c r="P655" s="12">
        <v>0</v>
      </c>
    </row>
    <row r="656" spans="1:16" x14ac:dyDescent="0.35">
      <c r="A656">
        <v>654</v>
      </c>
      <c r="C656" s="14">
        <f t="shared" si="41"/>
        <v>1038704.5214321546</v>
      </c>
      <c r="D656" s="14">
        <f t="shared" si="42"/>
        <v>881013.39944407402</v>
      </c>
      <c r="E656" s="14">
        <f t="shared" si="43"/>
        <v>47992.947969993351</v>
      </c>
      <c r="F656" s="14">
        <f t="shared" si="40"/>
        <v>69589.774589873821</v>
      </c>
      <c r="H656" s="14" cm="1">
        <f t="array" ref="H656:K656">MMULT($C655:$F655,P_Matrix)</f>
        <v>989991.67865520483</v>
      </c>
      <c r="I656" s="14">
        <v>860136.46682538127</v>
      </c>
      <c r="J656" s="14">
        <v>47992.947969993351</v>
      </c>
      <c r="K656" s="14">
        <v>139179.54914976034</v>
      </c>
      <c r="M656" s="12">
        <f>MAX((Inputs!F$25*POWER(1+(Inputs!$C$3-(Inputs!$C$3*(('Steady State'!$A656-1)/Inputs!$C$4))),'Steady State'!$A656-1)),M655)</f>
        <v>48712.842776949758</v>
      </c>
      <c r="N656" s="12">
        <f>MAX((Inputs!G$25*POWER(1+(Inputs!$C$3-(Inputs!$C$3*(('Steady State'!$A656-1)/Inputs!$C$4))),'Steady State'!$A656-1)),N655)</f>
        <v>20876.932618692754</v>
      </c>
      <c r="O656" s="12">
        <v>0</v>
      </c>
      <c r="P656" s="12">
        <v>0</v>
      </c>
    </row>
    <row r="657" spans="1:16" x14ac:dyDescent="0.35">
      <c r="A657">
        <v>655</v>
      </c>
      <c r="C657" s="14">
        <f t="shared" si="41"/>
        <v>1038704.5217146151</v>
      </c>
      <c r="D657" s="14">
        <f t="shared" si="42"/>
        <v>881013.39991770568</v>
      </c>
      <c r="E657" s="14">
        <f t="shared" si="43"/>
        <v>47992.947990758301</v>
      </c>
      <c r="F657" s="14">
        <f t="shared" si="40"/>
        <v>69589.774618785188</v>
      </c>
      <c r="H657" s="14" cm="1">
        <f t="array" ref="H657:K657">MMULT($C656:$F656,P_Matrix)</f>
        <v>989991.6789376653</v>
      </c>
      <c r="I657" s="14">
        <v>860136.46729901293</v>
      </c>
      <c r="J657" s="14">
        <v>47992.947990758301</v>
      </c>
      <c r="K657" s="14">
        <v>139179.54920865901</v>
      </c>
      <c r="M657" s="12">
        <f>MAX((Inputs!F$25*POWER(1+(Inputs!$C$3-(Inputs!$C$3*(('Steady State'!$A657-1)/Inputs!$C$4))),'Steady State'!$A657-1)),M656)</f>
        <v>48712.842776949758</v>
      </c>
      <c r="N657" s="12">
        <f>MAX((Inputs!G$25*POWER(1+(Inputs!$C$3-(Inputs!$C$3*(('Steady State'!$A657-1)/Inputs!$C$4))),'Steady State'!$A657-1)),N656)</f>
        <v>20876.932618692754</v>
      </c>
      <c r="O657" s="12">
        <v>0</v>
      </c>
      <c r="P657" s="12">
        <v>0</v>
      </c>
    </row>
    <row r="658" spans="1:16" x14ac:dyDescent="0.35">
      <c r="A658">
        <v>656</v>
      </c>
      <c r="C658" s="14">
        <f t="shared" si="41"/>
        <v>1038704.5219869406</v>
      </c>
      <c r="D658" s="14">
        <f t="shared" si="42"/>
        <v>881013.40037434339</v>
      </c>
      <c r="E658" s="14">
        <f t="shared" si="43"/>
        <v>47992.948010778186</v>
      </c>
      <c r="F658" s="14">
        <f t="shared" si="40"/>
        <v>69589.774646659207</v>
      </c>
      <c r="H658" s="14" cm="1">
        <f t="array" ref="H658:K658">MMULT($C657:$F657,P_Matrix)</f>
        <v>989991.67920999089</v>
      </c>
      <c r="I658" s="14">
        <v>860136.46775565064</v>
      </c>
      <c r="J658" s="14">
        <v>47992.948010778186</v>
      </c>
      <c r="K658" s="14">
        <v>139179.5492654444</v>
      </c>
      <c r="M658" s="12">
        <f>MAX((Inputs!F$25*POWER(1+(Inputs!$C$3-(Inputs!$C$3*(('Steady State'!$A658-1)/Inputs!$C$4))),'Steady State'!$A658-1)),M657)</f>
        <v>48712.842776949758</v>
      </c>
      <c r="N658" s="12">
        <f>MAX((Inputs!G$25*POWER(1+(Inputs!$C$3-(Inputs!$C$3*(('Steady State'!$A658-1)/Inputs!$C$4))),'Steady State'!$A658-1)),N657)</f>
        <v>20876.932618692754</v>
      </c>
      <c r="O658" s="12">
        <v>0</v>
      </c>
      <c r="P658" s="12">
        <v>0</v>
      </c>
    </row>
    <row r="659" spans="1:16" x14ac:dyDescent="0.35">
      <c r="A659">
        <v>657</v>
      </c>
      <c r="C659" s="14">
        <f t="shared" si="41"/>
        <v>1038704.5222494951</v>
      </c>
      <c r="D659" s="14">
        <f t="shared" si="42"/>
        <v>881013.40081459668</v>
      </c>
      <c r="E659" s="14">
        <f t="shared" si="43"/>
        <v>47992.948030079751</v>
      </c>
      <c r="F659" s="14">
        <f t="shared" si="40"/>
        <v>69589.774673533044</v>
      </c>
      <c r="H659" s="14" cm="1">
        <f t="array" ref="H659:K659">MMULT($C658:$F658,P_Matrix)</f>
        <v>989991.67947254539</v>
      </c>
      <c r="I659" s="14">
        <v>860136.46819590393</v>
      </c>
      <c r="J659" s="14">
        <v>47992.948030079751</v>
      </c>
      <c r="K659" s="14">
        <v>139179.54932019225</v>
      </c>
      <c r="M659" s="12">
        <f>MAX((Inputs!F$25*POWER(1+(Inputs!$C$3-(Inputs!$C$3*(('Steady State'!$A659-1)/Inputs!$C$4))),'Steady State'!$A659-1)),M658)</f>
        <v>48712.842776949758</v>
      </c>
      <c r="N659" s="12">
        <f>MAX((Inputs!G$25*POWER(1+(Inputs!$C$3-(Inputs!$C$3*(('Steady State'!$A659-1)/Inputs!$C$4))),'Steady State'!$A659-1)),N658)</f>
        <v>20876.932618692754</v>
      </c>
      <c r="O659" s="12">
        <v>0</v>
      </c>
      <c r="P659" s="12">
        <v>0</v>
      </c>
    </row>
    <row r="660" spans="1:16" x14ac:dyDescent="0.35">
      <c r="A660">
        <v>658</v>
      </c>
      <c r="C660" s="14">
        <f t="shared" si="41"/>
        <v>1038704.5225026291</v>
      </c>
      <c r="D660" s="14">
        <f t="shared" si="42"/>
        <v>881013.40123905335</v>
      </c>
      <c r="E660" s="14">
        <f t="shared" si="43"/>
        <v>47992.94804868877</v>
      </c>
      <c r="F660" s="14">
        <f t="shared" si="40"/>
        <v>69589.7746994427</v>
      </c>
      <c r="H660" s="14" cm="1">
        <f t="array" ref="H660:K660">MMULT($C659:$F659,P_Matrix)</f>
        <v>989991.67972567934</v>
      </c>
      <c r="I660" s="14">
        <v>860136.4686203606</v>
      </c>
      <c r="J660" s="14">
        <v>47992.94804868877</v>
      </c>
      <c r="K660" s="14">
        <v>139179.54937297574</v>
      </c>
      <c r="M660" s="12">
        <f>MAX((Inputs!F$25*POWER(1+(Inputs!$C$3-(Inputs!$C$3*(('Steady State'!$A660-1)/Inputs!$C$4))),'Steady State'!$A660-1)),M659)</f>
        <v>48712.842776949758</v>
      </c>
      <c r="N660" s="12">
        <f>MAX((Inputs!G$25*POWER(1+(Inputs!$C$3-(Inputs!$C$3*(('Steady State'!$A660-1)/Inputs!$C$4))),'Steady State'!$A660-1)),N659)</f>
        <v>20876.932618692754</v>
      </c>
      <c r="O660" s="12">
        <v>0</v>
      </c>
      <c r="P660" s="12">
        <v>0</v>
      </c>
    </row>
    <row r="661" spans="1:16" x14ac:dyDescent="0.35">
      <c r="A661">
        <v>659</v>
      </c>
      <c r="C661" s="14">
        <f t="shared" si="41"/>
        <v>1038704.5227466804</v>
      </c>
      <c r="D661" s="14">
        <f t="shared" si="42"/>
        <v>881013.40164828056</v>
      </c>
      <c r="E661" s="14">
        <f t="shared" si="43"/>
        <v>47992.948066630088</v>
      </c>
      <c r="F661" s="14">
        <f t="shared" si="40"/>
        <v>69589.774724422663</v>
      </c>
      <c r="H661" s="14" cm="1">
        <f t="array" ref="H661:K661">MMULT($C660:$F660,P_Matrix)</f>
        <v>989991.67996973067</v>
      </c>
      <c r="I661" s="14">
        <v>860136.46902958781</v>
      </c>
      <c r="J661" s="14">
        <v>47992.948066630088</v>
      </c>
      <c r="K661" s="14">
        <v>139179.54942386536</v>
      </c>
      <c r="M661" s="12">
        <f>MAX((Inputs!F$25*POWER(1+(Inputs!$C$3-(Inputs!$C$3*(('Steady State'!$A661-1)/Inputs!$C$4))),'Steady State'!$A661-1)),M660)</f>
        <v>48712.842776949758</v>
      </c>
      <c r="N661" s="12">
        <f>MAX((Inputs!G$25*POWER(1+(Inputs!$C$3-(Inputs!$C$3*(('Steady State'!$A661-1)/Inputs!$C$4))),'Steady State'!$A661-1)),N660)</f>
        <v>20876.932618692754</v>
      </c>
      <c r="O661" s="12">
        <v>0</v>
      </c>
      <c r="P661" s="12">
        <v>0</v>
      </c>
    </row>
    <row r="662" spans="1:16" x14ac:dyDescent="0.35">
      <c r="A662">
        <v>660</v>
      </c>
      <c r="C662" s="14">
        <f t="shared" si="41"/>
        <v>1038704.5229819752</v>
      </c>
      <c r="D662" s="14">
        <f t="shared" si="42"/>
        <v>881013.40204282431</v>
      </c>
      <c r="E662" s="14">
        <f t="shared" si="43"/>
        <v>47992.948083927666</v>
      </c>
      <c r="F662" s="14">
        <f t="shared" si="40"/>
        <v>69589.774748506374</v>
      </c>
      <c r="H662" s="14" cm="1">
        <f t="array" ref="H662:K662">MMULT($C661:$F661,P_Matrix)</f>
        <v>989991.68020502548</v>
      </c>
      <c r="I662" s="14">
        <v>860136.46942413156</v>
      </c>
      <c r="J662" s="14">
        <v>47992.948083927666</v>
      </c>
      <c r="K662" s="14">
        <v>139179.54947292904</v>
      </c>
      <c r="M662" s="12">
        <f>MAX((Inputs!F$25*POWER(1+(Inputs!$C$3-(Inputs!$C$3*(('Steady State'!$A662-1)/Inputs!$C$4))),'Steady State'!$A662-1)),M661)</f>
        <v>48712.842776949758</v>
      </c>
      <c r="N662" s="12">
        <f>MAX((Inputs!G$25*POWER(1+(Inputs!$C$3-(Inputs!$C$3*(('Steady State'!$A662-1)/Inputs!$C$4))),'Steady State'!$A662-1)),N661)</f>
        <v>20876.932618692754</v>
      </c>
      <c r="O662" s="12">
        <v>0</v>
      </c>
      <c r="P662" s="12">
        <v>0</v>
      </c>
    </row>
    <row r="663" spans="1:16" x14ac:dyDescent="0.35">
      <c r="A663">
        <v>661</v>
      </c>
      <c r="C663" s="14">
        <f t="shared" si="41"/>
        <v>1038704.5232088275</v>
      </c>
      <c r="D663" s="14">
        <f t="shared" si="42"/>
        <v>881013.40242321184</v>
      </c>
      <c r="E663" s="14">
        <f t="shared" si="43"/>
        <v>47992.948100604597</v>
      </c>
      <c r="F663" s="14">
        <f t="shared" si="40"/>
        <v>69589.774771725904</v>
      </c>
      <c r="H663" s="14" cm="1">
        <f t="array" ref="H663:K663">MMULT($C662:$F662,P_Matrix)</f>
        <v>989991.68043187773</v>
      </c>
      <c r="I663" s="14">
        <v>860136.46980451909</v>
      </c>
      <c r="J663" s="14">
        <v>47992.948100604597</v>
      </c>
      <c r="K663" s="14">
        <v>139179.54952023228</v>
      </c>
      <c r="M663" s="12">
        <f>MAX((Inputs!F$25*POWER(1+(Inputs!$C$3-(Inputs!$C$3*(('Steady State'!$A663-1)/Inputs!$C$4))),'Steady State'!$A663-1)),M662)</f>
        <v>48712.842776949758</v>
      </c>
      <c r="N663" s="12">
        <f>MAX((Inputs!G$25*POWER(1+(Inputs!$C$3-(Inputs!$C$3*(('Steady State'!$A663-1)/Inputs!$C$4))),'Steady State'!$A663-1)),N662)</f>
        <v>20876.932618692754</v>
      </c>
      <c r="O663" s="12">
        <v>0</v>
      </c>
      <c r="P663" s="12">
        <v>0</v>
      </c>
    </row>
    <row r="664" spans="1:16" x14ac:dyDescent="0.35">
      <c r="A664">
        <v>662</v>
      </c>
      <c r="C664" s="14">
        <f t="shared" si="41"/>
        <v>1038704.5234275401</v>
      </c>
      <c r="D664" s="14">
        <f t="shared" si="42"/>
        <v>881013.4027899506</v>
      </c>
      <c r="E664" s="14">
        <f t="shared" si="43"/>
        <v>47992.948116683154</v>
      </c>
      <c r="F664" s="14">
        <f t="shared" si="40"/>
        <v>69589.774794112338</v>
      </c>
      <c r="H664" s="14" cm="1">
        <f t="array" ref="H664:K664">MMULT($C663:$F663,P_Matrix)</f>
        <v>989991.68065059034</v>
      </c>
      <c r="I664" s="14">
        <v>860136.47017125785</v>
      </c>
      <c r="J664" s="14">
        <v>47992.948116683154</v>
      </c>
      <c r="K664" s="14">
        <v>139179.54956583824</v>
      </c>
      <c r="M664" s="12">
        <f>MAX((Inputs!F$25*POWER(1+(Inputs!$C$3-(Inputs!$C$3*(('Steady State'!$A664-1)/Inputs!$C$4))),'Steady State'!$A664-1)),M663)</f>
        <v>48712.842776949758</v>
      </c>
      <c r="N664" s="12">
        <f>MAX((Inputs!G$25*POWER(1+(Inputs!$C$3-(Inputs!$C$3*(('Steady State'!$A664-1)/Inputs!$C$4))),'Steady State'!$A664-1)),N663)</f>
        <v>20876.932618692754</v>
      </c>
      <c r="O664" s="12">
        <v>0</v>
      </c>
      <c r="P664" s="12">
        <v>0</v>
      </c>
    </row>
    <row r="665" spans="1:16" x14ac:dyDescent="0.35">
      <c r="A665">
        <v>663</v>
      </c>
      <c r="C665" s="14">
        <f t="shared" si="41"/>
        <v>1038704.5236384051</v>
      </c>
      <c r="D665" s="14">
        <f t="shared" si="42"/>
        <v>881013.40314353071</v>
      </c>
      <c r="E665" s="14">
        <f t="shared" si="43"/>
        <v>47992.9481321848</v>
      </c>
      <c r="F665" s="14">
        <f t="shared" si="40"/>
        <v>69589.774815695506</v>
      </c>
      <c r="H665" s="14" cm="1">
        <f t="array" ref="H665:K665">MMULT($C664:$F664,P_Matrix)</f>
        <v>989991.68086145539</v>
      </c>
      <c r="I665" s="14">
        <v>860136.47052483796</v>
      </c>
      <c r="J665" s="14">
        <v>47992.9481321848</v>
      </c>
      <c r="K665" s="14">
        <v>139179.54960980784</v>
      </c>
      <c r="M665" s="12">
        <f>MAX((Inputs!F$25*POWER(1+(Inputs!$C$3-(Inputs!$C$3*(('Steady State'!$A665-1)/Inputs!$C$4))),'Steady State'!$A665-1)),M664)</f>
        <v>48712.842776949758</v>
      </c>
      <c r="N665" s="12">
        <f>MAX((Inputs!G$25*POWER(1+(Inputs!$C$3-(Inputs!$C$3*(('Steady State'!$A665-1)/Inputs!$C$4))),'Steady State'!$A665-1)),N664)</f>
        <v>20876.932618692754</v>
      </c>
      <c r="O665" s="12">
        <v>0</v>
      </c>
      <c r="P665" s="12">
        <v>0</v>
      </c>
    </row>
    <row r="666" spans="1:16" x14ac:dyDescent="0.35">
      <c r="A666">
        <v>664</v>
      </c>
      <c r="C666" s="14">
        <f t="shared" si="41"/>
        <v>1038704.5238417044</v>
      </c>
      <c r="D666" s="14">
        <f t="shared" si="42"/>
        <v>881013.40348442423</v>
      </c>
      <c r="E666" s="14">
        <f t="shared" si="43"/>
        <v>47992.948147130242</v>
      </c>
      <c r="F666" s="14">
        <f t="shared" si="40"/>
        <v>69589.774836504279</v>
      </c>
      <c r="H666" s="14" cm="1">
        <f t="array" ref="H666:K666">MMULT($C665:$F665,P_Matrix)</f>
        <v>989991.68106475461</v>
      </c>
      <c r="I666" s="14">
        <v>860136.47086573148</v>
      </c>
      <c r="J666" s="14">
        <v>47992.948147130242</v>
      </c>
      <c r="K666" s="14">
        <v>139179.54965219978</v>
      </c>
      <c r="M666" s="12">
        <f>MAX((Inputs!F$25*POWER(1+(Inputs!$C$3-(Inputs!$C$3*(('Steady State'!$A666-1)/Inputs!$C$4))),'Steady State'!$A666-1)),M665)</f>
        <v>48712.842776949758</v>
      </c>
      <c r="N666" s="12">
        <f>MAX((Inputs!G$25*POWER(1+(Inputs!$C$3-(Inputs!$C$3*(('Steady State'!$A666-1)/Inputs!$C$4))),'Steady State'!$A666-1)),N665)</f>
        <v>20876.932618692754</v>
      </c>
      <c r="O666" s="12">
        <v>0</v>
      </c>
      <c r="P666" s="12">
        <v>0</v>
      </c>
    </row>
    <row r="667" spans="1:16" x14ac:dyDescent="0.35">
      <c r="A667">
        <v>665</v>
      </c>
      <c r="C667" s="14">
        <f t="shared" si="41"/>
        <v>1038704.5240377091</v>
      </c>
      <c r="D667" s="14">
        <f t="shared" si="42"/>
        <v>881013.40381308633</v>
      </c>
      <c r="E667" s="14">
        <f t="shared" si="43"/>
        <v>47992.948161539432</v>
      </c>
      <c r="F667" s="14">
        <f t="shared" si="40"/>
        <v>69589.774856566422</v>
      </c>
      <c r="H667" s="14" cm="1">
        <f t="array" ref="H667:K667">MMULT($C666:$F666,P_Matrix)</f>
        <v>989991.68126075936</v>
      </c>
      <c r="I667" s="14">
        <v>860136.47119439358</v>
      </c>
      <c r="J667" s="14">
        <v>47992.948161539432</v>
      </c>
      <c r="K667" s="14">
        <v>139179.5496930707</v>
      </c>
      <c r="M667" s="12">
        <f>MAX((Inputs!F$25*POWER(1+(Inputs!$C$3-(Inputs!$C$3*(('Steady State'!$A667-1)/Inputs!$C$4))),'Steady State'!$A667-1)),M666)</f>
        <v>48712.842776949758</v>
      </c>
      <c r="N667" s="12">
        <f>MAX((Inputs!G$25*POWER(1+(Inputs!$C$3-(Inputs!$C$3*(('Steady State'!$A667-1)/Inputs!$C$4))),'Steady State'!$A667-1)),N666)</f>
        <v>20876.932618692754</v>
      </c>
      <c r="O667" s="12">
        <v>0</v>
      </c>
      <c r="P667" s="12">
        <v>0</v>
      </c>
    </row>
    <row r="668" spans="1:16" x14ac:dyDescent="0.35">
      <c r="A668">
        <v>666</v>
      </c>
      <c r="C668" s="14">
        <f t="shared" si="41"/>
        <v>1038704.5242266811</v>
      </c>
      <c r="D668" s="14">
        <f t="shared" si="42"/>
        <v>881013.40412995592</v>
      </c>
      <c r="E668" s="14">
        <f t="shared" si="43"/>
        <v>47992.948175431608</v>
      </c>
      <c r="F668" s="14">
        <f t="shared" si="40"/>
        <v>69589.774875908712</v>
      </c>
      <c r="H668" s="14" cm="1">
        <f t="array" ref="H668:K668">MMULT($C667:$F667,P_Matrix)</f>
        <v>989991.68144973135</v>
      </c>
      <c r="I668" s="14">
        <v>860136.47151126317</v>
      </c>
      <c r="J668" s="14">
        <v>47992.948175431608</v>
      </c>
      <c r="K668" s="14">
        <v>139179.54973247513</v>
      </c>
      <c r="M668" s="12">
        <f>MAX((Inputs!F$25*POWER(1+(Inputs!$C$3-(Inputs!$C$3*(('Steady State'!$A668-1)/Inputs!$C$4))),'Steady State'!$A668-1)),M667)</f>
        <v>48712.842776949758</v>
      </c>
      <c r="N668" s="12">
        <f>MAX((Inputs!G$25*POWER(1+(Inputs!$C$3-(Inputs!$C$3*(('Steady State'!$A668-1)/Inputs!$C$4))),'Steady State'!$A668-1)),N667)</f>
        <v>20876.932618692754</v>
      </c>
      <c r="O668" s="12">
        <v>0</v>
      </c>
      <c r="P668" s="12">
        <v>0</v>
      </c>
    </row>
    <row r="669" spans="1:16" x14ac:dyDescent="0.35">
      <c r="A669">
        <v>667</v>
      </c>
      <c r="C669" s="14">
        <f t="shared" si="41"/>
        <v>1038704.5244088726</v>
      </c>
      <c r="D669" s="14">
        <f t="shared" si="42"/>
        <v>881013.40443545592</v>
      </c>
      <c r="E669" s="14">
        <f t="shared" si="43"/>
        <v>47992.948188825336</v>
      </c>
      <c r="F669" s="14">
        <f t="shared" si="40"/>
        <v>69589.77489455702</v>
      </c>
      <c r="H669" s="14" cm="1">
        <f t="array" ref="H669:K669">MMULT($C668:$F668,P_Matrix)</f>
        <v>989991.68163192284</v>
      </c>
      <c r="I669" s="14">
        <v>860136.47181676317</v>
      </c>
      <c r="J669" s="14">
        <v>47992.948188825336</v>
      </c>
      <c r="K669" s="14">
        <v>139179.54977046573</v>
      </c>
      <c r="M669" s="12">
        <f>MAX((Inputs!F$25*POWER(1+(Inputs!$C$3-(Inputs!$C$3*(('Steady State'!$A669-1)/Inputs!$C$4))),'Steady State'!$A669-1)),M668)</f>
        <v>48712.842776949758</v>
      </c>
      <c r="N669" s="12">
        <f>MAX((Inputs!G$25*POWER(1+(Inputs!$C$3-(Inputs!$C$3*(('Steady State'!$A669-1)/Inputs!$C$4))),'Steady State'!$A669-1)),N668)</f>
        <v>20876.932618692754</v>
      </c>
      <c r="O669" s="12">
        <v>0</v>
      </c>
      <c r="P669" s="12">
        <v>0</v>
      </c>
    </row>
    <row r="670" spans="1:16" x14ac:dyDescent="0.35">
      <c r="A670">
        <v>668</v>
      </c>
      <c r="C670" s="14">
        <f t="shared" si="41"/>
        <v>1038704.524584527</v>
      </c>
      <c r="D670" s="14">
        <f t="shared" si="42"/>
        <v>881013.4047299946</v>
      </c>
      <c r="E670" s="14">
        <f t="shared" si="43"/>
        <v>47992.948201738487</v>
      </c>
      <c r="F670" s="14">
        <f t="shared" si="40"/>
        <v>69589.774912536202</v>
      </c>
      <c r="H670" s="14" cm="1">
        <f t="array" ref="H670:K670">MMULT($C669:$F669,P_Matrix)</f>
        <v>989991.68180757726</v>
      </c>
      <c r="I670" s="14">
        <v>860136.47211130185</v>
      </c>
      <c r="J670" s="14">
        <v>47992.948201738487</v>
      </c>
      <c r="K670" s="14">
        <v>139179.54980709322</v>
      </c>
      <c r="M670" s="12">
        <f>MAX((Inputs!F$25*POWER(1+(Inputs!$C$3-(Inputs!$C$3*(('Steady State'!$A670-1)/Inputs!$C$4))),'Steady State'!$A670-1)),M669)</f>
        <v>48712.842776949758</v>
      </c>
      <c r="N670" s="12">
        <f>MAX((Inputs!G$25*POWER(1+(Inputs!$C$3-(Inputs!$C$3*(('Steady State'!$A670-1)/Inputs!$C$4))),'Steady State'!$A670-1)),N669)</f>
        <v>20876.932618692754</v>
      </c>
      <c r="O670" s="12">
        <v>0</v>
      </c>
      <c r="P670" s="12">
        <v>0</v>
      </c>
    </row>
    <row r="671" spans="1:16" x14ac:dyDescent="0.35">
      <c r="A671">
        <v>669</v>
      </c>
      <c r="C671" s="14">
        <f t="shared" si="41"/>
        <v>1038704.5247538789</v>
      </c>
      <c r="D671" s="14">
        <f t="shared" si="42"/>
        <v>881013.40501396509</v>
      </c>
      <c r="E671" s="14">
        <f t="shared" si="43"/>
        <v>47992.948214188305</v>
      </c>
      <c r="F671" s="14">
        <f t="shared" si="40"/>
        <v>69589.774929870269</v>
      </c>
      <c r="H671" s="14" cm="1">
        <f t="array" ref="H671:K671">MMULT($C670:$F670,P_Matrix)</f>
        <v>989991.68197692919</v>
      </c>
      <c r="I671" s="14">
        <v>860136.47239527234</v>
      </c>
      <c r="J671" s="14">
        <v>47992.948214188305</v>
      </c>
      <c r="K671" s="14">
        <v>139179.54984240647</v>
      </c>
      <c r="M671" s="12">
        <f>MAX((Inputs!F$25*POWER(1+(Inputs!$C$3-(Inputs!$C$3*(('Steady State'!$A671-1)/Inputs!$C$4))),'Steady State'!$A671-1)),M670)</f>
        <v>48712.842776949758</v>
      </c>
      <c r="N671" s="12">
        <f>MAX((Inputs!G$25*POWER(1+(Inputs!$C$3-(Inputs!$C$3*(('Steady State'!$A671-1)/Inputs!$C$4))),'Steady State'!$A671-1)),N670)</f>
        <v>20876.932618692754</v>
      </c>
      <c r="O671" s="12">
        <v>0</v>
      </c>
      <c r="P671" s="12">
        <v>0</v>
      </c>
    </row>
    <row r="672" spans="1:16" x14ac:dyDescent="0.35">
      <c r="A672">
        <v>670</v>
      </c>
      <c r="C672" s="14">
        <f t="shared" si="41"/>
        <v>1038704.5249171545</v>
      </c>
      <c r="D672" s="14">
        <f t="shared" si="42"/>
        <v>881013.40528774646</v>
      </c>
      <c r="E672" s="14">
        <f t="shared" si="43"/>
        <v>47992.948226191424</v>
      </c>
      <c r="F672" s="14">
        <f t="shared" si="40"/>
        <v>69589.774946582387</v>
      </c>
      <c r="H672" s="14" cm="1">
        <f t="array" ref="H672:K672">MMULT($C671:$F671,P_Matrix)</f>
        <v>989991.68214020471</v>
      </c>
      <c r="I672" s="14">
        <v>860136.47266905371</v>
      </c>
      <c r="J672" s="14">
        <v>47992.948226191424</v>
      </c>
      <c r="K672" s="14">
        <v>139179.54987645266</v>
      </c>
      <c r="M672" s="12">
        <f>MAX((Inputs!F$25*POWER(1+(Inputs!$C$3-(Inputs!$C$3*(('Steady State'!$A672-1)/Inputs!$C$4))),'Steady State'!$A672-1)),M671)</f>
        <v>48712.842776949758</v>
      </c>
      <c r="N672" s="12">
        <f>MAX((Inputs!G$25*POWER(1+(Inputs!$C$3-(Inputs!$C$3*(('Steady State'!$A672-1)/Inputs!$C$4))),'Steady State'!$A672-1)),N671)</f>
        <v>20876.932618692754</v>
      </c>
      <c r="O672" s="12">
        <v>0</v>
      </c>
      <c r="P672" s="12">
        <v>0</v>
      </c>
    </row>
    <row r="673" spans="1:16" x14ac:dyDescent="0.35">
      <c r="A673">
        <v>671</v>
      </c>
      <c r="C673" s="14">
        <f t="shared" si="41"/>
        <v>1038704.5250745715</v>
      </c>
      <c r="D673" s="14">
        <f t="shared" si="42"/>
        <v>881013.40555170446</v>
      </c>
      <c r="E673" s="14">
        <f t="shared" si="43"/>
        <v>47992.948237763863</v>
      </c>
      <c r="F673" s="14">
        <f t="shared" si="40"/>
        <v>69589.774962694879</v>
      </c>
      <c r="H673" s="14" cm="1">
        <f t="array" ref="H673:K673">MMULT($C672:$F672,P_Matrix)</f>
        <v>989991.68229762174</v>
      </c>
      <c r="I673" s="14">
        <v>860136.47293301171</v>
      </c>
      <c r="J673" s="14">
        <v>47992.948237763863</v>
      </c>
      <c r="K673" s="14">
        <v>139179.54990927727</v>
      </c>
      <c r="M673" s="12">
        <f>MAX((Inputs!F$25*POWER(1+(Inputs!$C$3-(Inputs!$C$3*(('Steady State'!$A673-1)/Inputs!$C$4))),'Steady State'!$A673-1)),M672)</f>
        <v>48712.842776949758</v>
      </c>
      <c r="N673" s="12">
        <f>MAX((Inputs!G$25*POWER(1+(Inputs!$C$3-(Inputs!$C$3*(('Steady State'!$A673-1)/Inputs!$C$4))),'Steady State'!$A673-1)),N672)</f>
        <v>20876.932618692754</v>
      </c>
      <c r="O673" s="12">
        <v>0</v>
      </c>
      <c r="P673" s="12">
        <v>0</v>
      </c>
    </row>
    <row r="674" spans="1:16" x14ac:dyDescent="0.35">
      <c r="A674">
        <v>672</v>
      </c>
      <c r="C674" s="14">
        <f t="shared" si="41"/>
        <v>1038704.5252263403</v>
      </c>
      <c r="D674" s="14">
        <f t="shared" si="42"/>
        <v>881013.40580619161</v>
      </c>
      <c r="E674" s="14">
        <f t="shared" si="43"/>
        <v>47992.948248921079</v>
      </c>
      <c r="F674" s="14">
        <f t="shared" si="40"/>
        <v>69589.774978229252</v>
      </c>
      <c r="H674" s="14" cm="1">
        <f t="array" ref="H674:K674">MMULT($C673:$F673,P_Matrix)</f>
        <v>989991.68244939053</v>
      </c>
      <c r="I674" s="14">
        <v>860136.47318749886</v>
      </c>
      <c r="J674" s="14">
        <v>47992.948248921079</v>
      </c>
      <c r="K674" s="14">
        <v>139179.54994092413</v>
      </c>
      <c r="M674" s="12">
        <f>MAX((Inputs!F$25*POWER(1+(Inputs!$C$3-(Inputs!$C$3*(('Steady State'!$A674-1)/Inputs!$C$4))),'Steady State'!$A674-1)),M673)</f>
        <v>48712.842776949758</v>
      </c>
      <c r="N674" s="12">
        <f>MAX((Inputs!G$25*POWER(1+(Inputs!$C$3-(Inputs!$C$3*(('Steady State'!$A674-1)/Inputs!$C$4))),'Steady State'!$A674-1)),N673)</f>
        <v>20876.932618692754</v>
      </c>
      <c r="O674" s="12">
        <v>0</v>
      </c>
      <c r="P674" s="12">
        <v>0</v>
      </c>
    </row>
    <row r="675" spans="1:16" x14ac:dyDescent="0.35">
      <c r="A675">
        <v>673</v>
      </c>
      <c r="C675" s="14">
        <f t="shared" si="41"/>
        <v>1038704.5253726635</v>
      </c>
      <c r="D675" s="14">
        <f t="shared" si="42"/>
        <v>881013.40605154773</v>
      </c>
      <c r="E675" s="14">
        <f t="shared" si="43"/>
        <v>47992.948259677964</v>
      </c>
      <c r="F675" s="14">
        <f t="shared" si="40"/>
        <v>69589.774993206229</v>
      </c>
      <c r="H675" s="14" cm="1">
        <f t="array" ref="H675:K675">MMULT($C674:$F674,P_Matrix)</f>
        <v>989991.68259571376</v>
      </c>
      <c r="I675" s="14">
        <v>860136.47343285498</v>
      </c>
      <c r="J675" s="14">
        <v>47992.948259677964</v>
      </c>
      <c r="K675" s="14">
        <v>139179.54997143548</v>
      </c>
      <c r="M675" s="12">
        <f>MAX((Inputs!F$25*POWER(1+(Inputs!$C$3-(Inputs!$C$3*(('Steady State'!$A675-1)/Inputs!$C$4))),'Steady State'!$A675-1)),M674)</f>
        <v>48712.842776949758</v>
      </c>
      <c r="N675" s="12">
        <f>MAX((Inputs!G$25*POWER(1+(Inputs!$C$3-(Inputs!$C$3*(('Steady State'!$A675-1)/Inputs!$C$4))),'Steady State'!$A675-1)),N674)</f>
        <v>20876.932618692754</v>
      </c>
      <c r="O675" s="12">
        <v>0</v>
      </c>
      <c r="P675" s="12">
        <v>0</v>
      </c>
    </row>
    <row r="676" spans="1:16" x14ac:dyDescent="0.35">
      <c r="A676">
        <v>674</v>
      </c>
      <c r="C676" s="14">
        <f t="shared" si="41"/>
        <v>1038704.5255137365</v>
      </c>
      <c r="D676" s="14">
        <f t="shared" si="42"/>
        <v>881013.40628810029</v>
      </c>
      <c r="E676" s="14">
        <f t="shared" si="43"/>
        <v>47992.948270048888</v>
      </c>
      <c r="F676" s="14">
        <f t="shared" si="40"/>
        <v>69589.775007645803</v>
      </c>
      <c r="H676" s="14" cm="1">
        <f t="array" ref="H676:K676">MMULT($C675:$F675,P_Matrix)</f>
        <v>989991.68273678678</v>
      </c>
      <c r="I676" s="14">
        <v>860136.47366940754</v>
      </c>
      <c r="J676" s="14">
        <v>47992.948270048888</v>
      </c>
      <c r="K676" s="14">
        <v>139179.55000085203</v>
      </c>
      <c r="M676" s="12">
        <f>MAX((Inputs!F$25*POWER(1+(Inputs!$C$3-(Inputs!$C$3*(('Steady State'!$A676-1)/Inputs!$C$4))),'Steady State'!$A676-1)),M675)</f>
        <v>48712.842776949758</v>
      </c>
      <c r="N676" s="12">
        <f>MAX((Inputs!G$25*POWER(1+(Inputs!$C$3-(Inputs!$C$3*(('Steady State'!$A676-1)/Inputs!$C$4))),'Steady State'!$A676-1)),N675)</f>
        <v>20876.932618692754</v>
      </c>
      <c r="O676" s="12">
        <v>0</v>
      </c>
      <c r="P676" s="12">
        <v>0</v>
      </c>
    </row>
    <row r="677" spans="1:16" x14ac:dyDescent="0.35">
      <c r="A677">
        <v>675</v>
      </c>
      <c r="C677" s="14">
        <f t="shared" si="41"/>
        <v>1038704.5256497479</v>
      </c>
      <c r="D677" s="14">
        <f t="shared" si="42"/>
        <v>881013.40651616524</v>
      </c>
      <c r="E677" s="14">
        <f t="shared" si="43"/>
        <v>47992.948280047698</v>
      </c>
      <c r="F677" s="14">
        <f t="shared" si="40"/>
        <v>69589.77502156733</v>
      </c>
      <c r="H677" s="14" cm="1">
        <f t="array" ref="H677:K677">MMULT($C676:$F676,P_Matrix)</f>
        <v>989991.68287279818</v>
      </c>
      <c r="I677" s="14">
        <v>860136.47389747249</v>
      </c>
      <c r="J677" s="14">
        <v>47992.948280047698</v>
      </c>
      <c r="K677" s="14">
        <v>139179.55002921313</v>
      </c>
      <c r="M677" s="12">
        <f>MAX((Inputs!F$25*POWER(1+(Inputs!$C$3-(Inputs!$C$3*(('Steady State'!$A677-1)/Inputs!$C$4))),'Steady State'!$A677-1)),M676)</f>
        <v>48712.842776949758</v>
      </c>
      <c r="N677" s="12">
        <f>MAX((Inputs!G$25*POWER(1+(Inputs!$C$3-(Inputs!$C$3*(('Steady State'!$A677-1)/Inputs!$C$4))),'Steady State'!$A677-1)),N676)</f>
        <v>20876.932618692754</v>
      </c>
      <c r="O677" s="12">
        <v>0</v>
      </c>
      <c r="P677" s="12">
        <v>0</v>
      </c>
    </row>
    <row r="678" spans="1:16" x14ac:dyDescent="0.35">
      <c r="A678">
        <v>676</v>
      </c>
      <c r="C678" s="14">
        <f t="shared" si="41"/>
        <v>1038704.5257808792</v>
      </c>
      <c r="D678" s="14">
        <f t="shared" si="42"/>
        <v>881013.40673604689</v>
      </c>
      <c r="E678" s="14">
        <f t="shared" si="43"/>
        <v>47992.948289687745</v>
      </c>
      <c r="F678" s="14">
        <f t="shared" si="40"/>
        <v>69589.775034989318</v>
      </c>
      <c r="H678" s="14" cm="1">
        <f t="array" ref="H678:K678">MMULT($C677:$F677,P_Matrix)</f>
        <v>989991.68300392944</v>
      </c>
      <c r="I678" s="14">
        <v>860136.47411735414</v>
      </c>
      <c r="J678" s="14">
        <v>47992.948289687745</v>
      </c>
      <c r="K678" s="14">
        <v>139179.55005655665</v>
      </c>
      <c r="M678" s="12">
        <f>MAX((Inputs!F$25*POWER(1+(Inputs!$C$3-(Inputs!$C$3*(('Steady State'!$A678-1)/Inputs!$C$4))),'Steady State'!$A678-1)),M677)</f>
        <v>48712.842776949758</v>
      </c>
      <c r="N678" s="12">
        <f>MAX((Inputs!G$25*POWER(1+(Inputs!$C$3-(Inputs!$C$3*(('Steady State'!$A678-1)/Inputs!$C$4))),'Steady State'!$A678-1)),N677)</f>
        <v>20876.932618692754</v>
      </c>
      <c r="O678" s="12">
        <v>0</v>
      </c>
      <c r="P678" s="12">
        <v>0</v>
      </c>
    </row>
    <row r="679" spans="1:16" x14ac:dyDescent="0.35">
      <c r="A679">
        <v>677</v>
      </c>
      <c r="C679" s="14">
        <f t="shared" si="41"/>
        <v>1038704.5259073054</v>
      </c>
      <c r="D679" s="14">
        <f t="shared" si="42"/>
        <v>881013.40694803931</v>
      </c>
      <c r="E679" s="14">
        <f t="shared" si="43"/>
        <v>47992.948298981908</v>
      </c>
      <c r="F679" s="14">
        <f t="shared" si="40"/>
        <v>69589.775047929696</v>
      </c>
      <c r="H679" s="14" cm="1">
        <f t="array" ref="H679:K679">MMULT($C678:$F678,P_Matrix)</f>
        <v>989991.68313035567</v>
      </c>
      <c r="I679" s="14">
        <v>860136.47432934656</v>
      </c>
      <c r="J679" s="14">
        <v>47992.948298981908</v>
      </c>
      <c r="K679" s="14">
        <v>139179.55008291901</v>
      </c>
      <c r="M679" s="12">
        <f>MAX((Inputs!F$25*POWER(1+(Inputs!$C$3-(Inputs!$C$3*(('Steady State'!$A679-1)/Inputs!$C$4))),'Steady State'!$A679-1)),M678)</f>
        <v>48712.842776949758</v>
      </c>
      <c r="N679" s="12">
        <f>MAX((Inputs!G$25*POWER(1+(Inputs!$C$3-(Inputs!$C$3*(('Steady State'!$A679-1)/Inputs!$C$4))),'Steady State'!$A679-1)),N678)</f>
        <v>20876.932618692754</v>
      </c>
      <c r="O679" s="12">
        <v>0</v>
      </c>
      <c r="P679" s="12">
        <v>0</v>
      </c>
    </row>
    <row r="680" spans="1:16" x14ac:dyDescent="0.35">
      <c r="A680">
        <v>678</v>
      </c>
      <c r="C680" s="14">
        <f t="shared" si="41"/>
        <v>1038704.5260291953</v>
      </c>
      <c r="D680" s="14">
        <f t="shared" si="42"/>
        <v>881013.40715242526</v>
      </c>
      <c r="E680" s="14">
        <f t="shared" si="43"/>
        <v>47992.948307942592</v>
      </c>
      <c r="F680" s="14">
        <f t="shared" si="40"/>
        <v>69589.775060405809</v>
      </c>
      <c r="H680" s="14" cm="1">
        <f t="array" ref="H680:K680">MMULT($C679:$F679,P_Matrix)</f>
        <v>989991.68325224554</v>
      </c>
      <c r="I680" s="14">
        <v>860136.47453373251</v>
      </c>
      <c r="J680" s="14">
        <v>47992.948307942592</v>
      </c>
      <c r="K680" s="14">
        <v>139179.5501083355</v>
      </c>
      <c r="M680" s="12">
        <f>MAX((Inputs!F$25*POWER(1+(Inputs!$C$3-(Inputs!$C$3*(('Steady State'!$A680-1)/Inputs!$C$4))),'Steady State'!$A680-1)),M679)</f>
        <v>48712.842776949758</v>
      </c>
      <c r="N680" s="12">
        <f>MAX((Inputs!G$25*POWER(1+(Inputs!$C$3-(Inputs!$C$3*(('Steady State'!$A680-1)/Inputs!$C$4))),'Steady State'!$A680-1)),N679)</f>
        <v>20876.932618692754</v>
      </c>
      <c r="O680" s="12">
        <v>0</v>
      </c>
      <c r="P680" s="12">
        <v>0</v>
      </c>
    </row>
    <row r="681" spans="1:16" x14ac:dyDescent="0.35">
      <c r="A681">
        <v>679</v>
      </c>
      <c r="C681" s="14">
        <f t="shared" si="41"/>
        <v>1038704.5261467118</v>
      </c>
      <c r="D681" s="14">
        <f t="shared" si="42"/>
        <v>881013.40734947775</v>
      </c>
      <c r="E681" s="14">
        <f t="shared" si="43"/>
        <v>47992.948316581758</v>
      </c>
      <c r="F681" s="14">
        <f t="shared" si="40"/>
        <v>69589.775072434248</v>
      </c>
      <c r="H681" s="14" cm="1">
        <f t="array" ref="H681:K681">MMULT($C680:$F680,P_Matrix)</f>
        <v>989991.68336976203</v>
      </c>
      <c r="I681" s="14">
        <v>860136.474730785</v>
      </c>
      <c r="J681" s="14">
        <v>47992.948316581758</v>
      </c>
      <c r="K681" s="14">
        <v>139179.55013284006</v>
      </c>
      <c r="M681" s="12">
        <f>MAX((Inputs!F$25*POWER(1+(Inputs!$C$3-(Inputs!$C$3*(('Steady State'!$A681-1)/Inputs!$C$4))),'Steady State'!$A681-1)),M680)</f>
        <v>48712.842776949758</v>
      </c>
      <c r="N681" s="12">
        <f>MAX((Inputs!G$25*POWER(1+(Inputs!$C$3-(Inputs!$C$3*(('Steady State'!$A681-1)/Inputs!$C$4))),'Steady State'!$A681-1)),N680)</f>
        <v>20876.932618692754</v>
      </c>
      <c r="O681" s="12">
        <v>0</v>
      </c>
      <c r="P681" s="12">
        <v>0</v>
      </c>
    </row>
    <row r="682" spans="1:16" x14ac:dyDescent="0.35">
      <c r="A682">
        <v>680</v>
      </c>
      <c r="C682" s="14">
        <f t="shared" si="41"/>
        <v>1038704.5262600117</v>
      </c>
      <c r="D682" s="14">
        <f t="shared" si="42"/>
        <v>881013.40753945988</v>
      </c>
      <c r="E682" s="14">
        <f t="shared" si="43"/>
        <v>47992.948324910947</v>
      </c>
      <c r="F682" s="14">
        <f t="shared" si="40"/>
        <v>69589.775084031135</v>
      </c>
      <c r="H682" s="14" cm="1">
        <f t="array" ref="H682:K682">MMULT($C681:$F681,P_Matrix)</f>
        <v>989991.68348306196</v>
      </c>
      <c r="I682" s="14">
        <v>860136.47492076713</v>
      </c>
      <c r="J682" s="14">
        <v>47992.948324910947</v>
      </c>
      <c r="K682" s="14">
        <v>139179.55015646538</v>
      </c>
      <c r="M682" s="12">
        <f>MAX((Inputs!F$25*POWER(1+(Inputs!$C$3-(Inputs!$C$3*(('Steady State'!$A682-1)/Inputs!$C$4))),'Steady State'!$A682-1)),M681)</f>
        <v>48712.842776949758</v>
      </c>
      <c r="N682" s="12">
        <f>MAX((Inputs!G$25*POWER(1+(Inputs!$C$3-(Inputs!$C$3*(('Steady State'!$A682-1)/Inputs!$C$4))),'Steady State'!$A682-1)),N681)</f>
        <v>20876.932618692754</v>
      </c>
      <c r="O682" s="12">
        <v>0</v>
      </c>
      <c r="P682" s="12">
        <v>0</v>
      </c>
    </row>
    <row r="683" spans="1:16" x14ac:dyDescent="0.35">
      <c r="A683">
        <v>681</v>
      </c>
      <c r="C683" s="14">
        <f t="shared" si="41"/>
        <v>1038704.5263692464</v>
      </c>
      <c r="D683" s="14">
        <f t="shared" si="42"/>
        <v>881013.40772262542</v>
      </c>
      <c r="E683" s="14">
        <f t="shared" si="43"/>
        <v>47992.948332941283</v>
      </c>
      <c r="F683" s="14">
        <f t="shared" si="40"/>
        <v>69589.775095211895</v>
      </c>
      <c r="H683" s="14" cm="1">
        <f t="array" ref="H683:K683">MMULT($C682:$F682,P_Matrix)</f>
        <v>989991.68359229667</v>
      </c>
      <c r="I683" s="14">
        <v>860136.47510393267</v>
      </c>
      <c r="J683" s="14">
        <v>47992.948332941283</v>
      </c>
      <c r="K683" s="14">
        <v>139179.55017924303</v>
      </c>
      <c r="M683" s="12">
        <f>MAX((Inputs!F$25*POWER(1+(Inputs!$C$3-(Inputs!$C$3*(('Steady State'!$A683-1)/Inputs!$C$4))),'Steady State'!$A683-1)),M682)</f>
        <v>48712.842776949758</v>
      </c>
      <c r="N683" s="12">
        <f>MAX((Inputs!G$25*POWER(1+(Inputs!$C$3-(Inputs!$C$3*(('Steady State'!$A683-1)/Inputs!$C$4))),'Steady State'!$A683-1)),N682)</f>
        <v>20876.932618692754</v>
      </c>
      <c r="O683" s="12">
        <v>0</v>
      </c>
      <c r="P683" s="12">
        <v>0</v>
      </c>
    </row>
    <row r="684" spans="1:16" x14ac:dyDescent="0.35">
      <c r="A684">
        <v>682</v>
      </c>
      <c r="C684" s="14">
        <f t="shared" si="41"/>
        <v>1038704.5264745618</v>
      </c>
      <c r="D684" s="14">
        <f t="shared" si="42"/>
        <v>881013.40789921884</v>
      </c>
      <c r="E684" s="14">
        <f t="shared" si="43"/>
        <v>47992.948340683484</v>
      </c>
      <c r="F684" s="14">
        <f t="shared" si="40"/>
        <v>69589.775105991488</v>
      </c>
      <c r="H684" s="14" cm="1">
        <f t="array" ref="H684:K684">MMULT($C683:$F683,P_Matrix)</f>
        <v>989991.68369761202</v>
      </c>
      <c r="I684" s="14">
        <v>860136.47528052609</v>
      </c>
      <c r="J684" s="14">
        <v>47992.948340683484</v>
      </c>
      <c r="K684" s="14">
        <v>139179.55020120338</v>
      </c>
      <c r="M684" s="12">
        <f>MAX((Inputs!F$25*POWER(1+(Inputs!$C$3-(Inputs!$C$3*(('Steady State'!$A684-1)/Inputs!$C$4))),'Steady State'!$A684-1)),M683)</f>
        <v>48712.842776949758</v>
      </c>
      <c r="N684" s="12">
        <f>MAX((Inputs!G$25*POWER(1+(Inputs!$C$3-(Inputs!$C$3*(('Steady State'!$A684-1)/Inputs!$C$4))),'Steady State'!$A684-1)),N683)</f>
        <v>20876.932618692754</v>
      </c>
      <c r="O684" s="12">
        <v>0</v>
      </c>
      <c r="P684" s="12">
        <v>0</v>
      </c>
    </row>
    <row r="685" spans="1:16" x14ac:dyDescent="0.35">
      <c r="A685">
        <v>683</v>
      </c>
      <c r="C685" s="14">
        <f t="shared" si="41"/>
        <v>1038704.5265760983</v>
      </c>
      <c r="D685" s="14">
        <f t="shared" si="42"/>
        <v>881013.4080694759</v>
      </c>
      <c r="E685" s="14">
        <f t="shared" si="43"/>
        <v>47992.948348147896</v>
      </c>
      <c r="F685" s="14">
        <f t="shared" si="40"/>
        <v>69589.775116384291</v>
      </c>
      <c r="H685" s="14" cm="1">
        <f t="array" ref="H685:K685">MMULT($C684:$F684,P_Matrix)</f>
        <v>989991.68379914854</v>
      </c>
      <c r="I685" s="14">
        <v>860136.47545078315</v>
      </c>
      <c r="J685" s="14">
        <v>47992.948348147896</v>
      </c>
      <c r="K685" s="14">
        <v>139179.55022237578</v>
      </c>
      <c r="M685" s="12">
        <f>MAX((Inputs!F$25*POWER(1+(Inputs!$C$3-(Inputs!$C$3*(('Steady State'!$A685-1)/Inputs!$C$4))),'Steady State'!$A685-1)),M684)</f>
        <v>48712.842776949758</v>
      </c>
      <c r="N685" s="12">
        <f>MAX((Inputs!G$25*POWER(1+(Inputs!$C$3-(Inputs!$C$3*(('Steady State'!$A685-1)/Inputs!$C$4))),'Steady State'!$A685-1)),N684)</f>
        <v>20876.932618692754</v>
      </c>
      <c r="O685" s="12">
        <v>0</v>
      </c>
      <c r="P685" s="12">
        <v>0</v>
      </c>
    </row>
    <row r="686" spans="1:16" x14ac:dyDescent="0.35">
      <c r="A686">
        <v>684</v>
      </c>
      <c r="C686" s="14">
        <f t="shared" si="41"/>
        <v>1038704.5266739916</v>
      </c>
      <c r="D686" s="14">
        <f t="shared" si="42"/>
        <v>881013.40823362418</v>
      </c>
      <c r="E686" s="14">
        <f t="shared" si="43"/>
        <v>47992.948355344473</v>
      </c>
      <c r="F686" s="14">
        <f t="shared" si="40"/>
        <v>69589.775126404216</v>
      </c>
      <c r="H686" s="14" cm="1">
        <f t="array" ref="H686:K686">MMULT($C685:$F685,P_Matrix)</f>
        <v>989991.68389704183</v>
      </c>
      <c r="I686" s="14">
        <v>860136.47561493143</v>
      </c>
      <c r="J686" s="14">
        <v>47992.948355344473</v>
      </c>
      <c r="K686" s="14">
        <v>139179.55024278851</v>
      </c>
      <c r="M686" s="12">
        <f>MAX((Inputs!F$25*POWER(1+(Inputs!$C$3-(Inputs!$C$3*(('Steady State'!$A686-1)/Inputs!$C$4))),'Steady State'!$A686-1)),M685)</f>
        <v>48712.842776949758</v>
      </c>
      <c r="N686" s="12">
        <f>MAX((Inputs!G$25*POWER(1+(Inputs!$C$3-(Inputs!$C$3*(('Steady State'!$A686-1)/Inputs!$C$4))),'Steady State'!$A686-1)),N685)</f>
        <v>20876.932618692754</v>
      </c>
      <c r="O686" s="12">
        <v>0</v>
      </c>
      <c r="P686" s="12">
        <v>0</v>
      </c>
    </row>
    <row r="687" spans="1:16" x14ac:dyDescent="0.35">
      <c r="A687">
        <v>685</v>
      </c>
      <c r="C687" s="14">
        <f t="shared" si="41"/>
        <v>1038704.5267683724</v>
      </c>
      <c r="D687" s="14">
        <f t="shared" si="42"/>
        <v>881013.40839188267</v>
      </c>
      <c r="E687" s="14">
        <f t="shared" si="43"/>
        <v>47992.948362282841</v>
      </c>
      <c r="F687" s="14">
        <f t="shared" si="40"/>
        <v>69589.775136064593</v>
      </c>
      <c r="H687" s="14" cm="1">
        <f t="array" ref="H687:K687">MMULT($C686:$F686,P_Matrix)</f>
        <v>989991.68399142264</v>
      </c>
      <c r="I687" s="14">
        <v>860136.47577318992</v>
      </c>
      <c r="J687" s="14">
        <v>47992.948362282841</v>
      </c>
      <c r="K687" s="14">
        <v>139179.55026246881</v>
      </c>
      <c r="M687" s="12">
        <f>MAX((Inputs!F$25*POWER(1+(Inputs!$C$3-(Inputs!$C$3*(('Steady State'!$A687-1)/Inputs!$C$4))),'Steady State'!$A687-1)),M686)</f>
        <v>48712.842776949758</v>
      </c>
      <c r="N687" s="12">
        <f>MAX((Inputs!G$25*POWER(1+(Inputs!$C$3-(Inputs!$C$3*(('Steady State'!$A687-1)/Inputs!$C$4))),'Steady State'!$A687-1)),N686)</f>
        <v>20876.932618692754</v>
      </c>
      <c r="O687" s="12">
        <v>0</v>
      </c>
      <c r="P687" s="12">
        <v>0</v>
      </c>
    </row>
    <row r="688" spans="1:16" x14ac:dyDescent="0.35">
      <c r="A688">
        <v>686</v>
      </c>
      <c r="C688" s="14">
        <f t="shared" si="41"/>
        <v>1038704.5268593669</v>
      </c>
      <c r="D688" s="14">
        <f t="shared" si="42"/>
        <v>881013.40854446287</v>
      </c>
      <c r="E688" s="14">
        <f t="shared" si="43"/>
        <v>47992.948368972255</v>
      </c>
      <c r="F688" s="14">
        <f t="shared" si="40"/>
        <v>69589.775145378342</v>
      </c>
      <c r="H688" s="14" cm="1">
        <f t="array" ref="H688:K688">MMULT($C687:$F687,P_Matrix)</f>
        <v>989991.68408241717</v>
      </c>
      <c r="I688" s="14">
        <v>860136.47592577012</v>
      </c>
      <c r="J688" s="14">
        <v>47992.948368972255</v>
      </c>
      <c r="K688" s="14">
        <v>139179.55028144293</v>
      </c>
      <c r="M688" s="12">
        <f>MAX((Inputs!F$25*POWER(1+(Inputs!$C$3-(Inputs!$C$3*(('Steady State'!$A688-1)/Inputs!$C$4))),'Steady State'!$A688-1)),M687)</f>
        <v>48712.842776949758</v>
      </c>
      <c r="N688" s="12">
        <f>MAX((Inputs!G$25*POWER(1+(Inputs!$C$3-(Inputs!$C$3*(('Steady State'!$A688-1)/Inputs!$C$4))),'Steady State'!$A688-1)),N687)</f>
        <v>20876.932618692754</v>
      </c>
      <c r="O688" s="12">
        <v>0</v>
      </c>
      <c r="P688" s="12">
        <v>0</v>
      </c>
    </row>
    <row r="689" spans="1:16" x14ac:dyDescent="0.35">
      <c r="A689">
        <v>687</v>
      </c>
      <c r="C689" s="14">
        <f t="shared" si="41"/>
        <v>1038704.5269470963</v>
      </c>
      <c r="D689" s="14">
        <f t="shared" si="42"/>
        <v>881013.4086915683</v>
      </c>
      <c r="E689" s="14">
        <f t="shared" si="43"/>
        <v>47992.948375421649</v>
      </c>
      <c r="F689" s="14">
        <f t="shared" si="40"/>
        <v>69589.775154357951</v>
      </c>
      <c r="H689" s="14" cm="1">
        <f t="array" ref="H689:K689">MMULT($C688:$F688,P_Matrix)</f>
        <v>989991.68417014659</v>
      </c>
      <c r="I689" s="14">
        <v>860136.47607287555</v>
      </c>
      <c r="J689" s="14">
        <v>47992.948375421649</v>
      </c>
      <c r="K689" s="14">
        <v>139179.55029973629</v>
      </c>
      <c r="M689" s="12">
        <f>MAX((Inputs!F$25*POWER(1+(Inputs!$C$3-(Inputs!$C$3*(('Steady State'!$A689-1)/Inputs!$C$4))),'Steady State'!$A689-1)),M688)</f>
        <v>48712.842776949758</v>
      </c>
      <c r="N689" s="12">
        <f>MAX((Inputs!G$25*POWER(1+(Inputs!$C$3-(Inputs!$C$3*(('Steady State'!$A689-1)/Inputs!$C$4))),'Steady State'!$A689-1)),N688)</f>
        <v>20876.932618692754</v>
      </c>
      <c r="O689" s="12">
        <v>0</v>
      </c>
      <c r="P689" s="12">
        <v>0</v>
      </c>
    </row>
    <row r="690" spans="1:16" x14ac:dyDescent="0.35">
      <c r="A690">
        <v>688</v>
      </c>
      <c r="C690" s="14">
        <f t="shared" si="41"/>
        <v>1038704.527031678</v>
      </c>
      <c r="D690" s="14">
        <f t="shared" si="42"/>
        <v>881013.40883339557</v>
      </c>
      <c r="E690" s="14">
        <f t="shared" si="43"/>
        <v>47992.948381639639</v>
      </c>
      <c r="F690" s="14">
        <f t="shared" si="40"/>
        <v>69589.775163015351</v>
      </c>
      <c r="H690" s="14" cm="1">
        <f t="array" ref="H690:K690">MMULT($C689:$F689,P_Matrix)</f>
        <v>989991.68425472826</v>
      </c>
      <c r="I690" s="14">
        <v>860136.47621470282</v>
      </c>
      <c r="J690" s="14">
        <v>47992.948381639639</v>
      </c>
      <c r="K690" s="14">
        <v>139179.5503173733</v>
      </c>
      <c r="M690" s="12">
        <f>MAX((Inputs!F$25*POWER(1+(Inputs!$C$3-(Inputs!$C$3*(('Steady State'!$A690-1)/Inputs!$C$4))),'Steady State'!$A690-1)),M689)</f>
        <v>48712.842776949758</v>
      </c>
      <c r="N690" s="12">
        <f>MAX((Inputs!G$25*POWER(1+(Inputs!$C$3-(Inputs!$C$3*(('Steady State'!$A690-1)/Inputs!$C$4))),'Steady State'!$A690-1)),N689)</f>
        <v>20876.932618692754</v>
      </c>
      <c r="O690" s="12">
        <v>0</v>
      </c>
      <c r="P690" s="12">
        <v>0</v>
      </c>
    </row>
    <row r="691" spans="1:16" x14ac:dyDescent="0.35">
      <c r="A691">
        <v>689</v>
      </c>
      <c r="C691" s="14">
        <f t="shared" si="41"/>
        <v>1038704.527113225</v>
      </c>
      <c r="D691" s="14">
        <f t="shared" si="42"/>
        <v>881013.4089701341</v>
      </c>
      <c r="E691" s="14">
        <f t="shared" si="43"/>
        <v>47992.948387634518</v>
      </c>
      <c r="F691" s="14">
        <f t="shared" si="40"/>
        <v>69589.775171362126</v>
      </c>
      <c r="H691" s="14" cm="1">
        <f t="array" ref="H691:K691">MMULT($C690:$F690,P_Matrix)</f>
        <v>989991.68433627521</v>
      </c>
      <c r="I691" s="14">
        <v>860136.47635144135</v>
      </c>
      <c r="J691" s="14">
        <v>47992.948387634518</v>
      </c>
      <c r="K691" s="14">
        <v>139179.55033437748</v>
      </c>
      <c r="M691" s="12">
        <f>MAX((Inputs!F$25*POWER(1+(Inputs!$C$3-(Inputs!$C$3*(('Steady State'!$A691-1)/Inputs!$C$4))),'Steady State'!$A691-1)),M690)</f>
        <v>48712.842776949758</v>
      </c>
      <c r="N691" s="12">
        <f>MAX((Inputs!G$25*POWER(1+(Inputs!$C$3-(Inputs!$C$3*(('Steady State'!$A691-1)/Inputs!$C$4))),'Steady State'!$A691-1)),N690)</f>
        <v>20876.932618692754</v>
      </c>
      <c r="O691" s="12">
        <v>0</v>
      </c>
      <c r="P691" s="12">
        <v>0</v>
      </c>
    </row>
    <row r="692" spans="1:16" x14ac:dyDescent="0.35">
      <c r="A692">
        <v>690</v>
      </c>
      <c r="C692" s="14">
        <f t="shared" si="41"/>
        <v>1038704.5271918459</v>
      </c>
      <c r="D692" s="14">
        <f t="shared" si="42"/>
        <v>881013.40910196642</v>
      </c>
      <c r="E692" s="14">
        <f t="shared" si="43"/>
        <v>47992.948393414306</v>
      </c>
      <c r="F692" s="14">
        <f t="shared" si="40"/>
        <v>69589.775179409393</v>
      </c>
      <c r="H692" s="14" cm="1">
        <f t="array" ref="H692:K692">MMULT($C691:$F691,P_Matrix)</f>
        <v>989991.68441489618</v>
      </c>
      <c r="I692" s="14">
        <v>860136.47648327367</v>
      </c>
      <c r="J692" s="14">
        <v>47992.948393414306</v>
      </c>
      <c r="K692" s="14">
        <v>139179.55035077152</v>
      </c>
      <c r="M692" s="12">
        <f>MAX((Inputs!F$25*POWER(1+(Inputs!$C$3-(Inputs!$C$3*(('Steady State'!$A692-1)/Inputs!$C$4))),'Steady State'!$A692-1)),M691)</f>
        <v>48712.842776949758</v>
      </c>
      <c r="N692" s="12">
        <f>MAX((Inputs!G$25*POWER(1+(Inputs!$C$3-(Inputs!$C$3*(('Steady State'!$A692-1)/Inputs!$C$4))),'Steady State'!$A692-1)),N691)</f>
        <v>20876.932618692754</v>
      </c>
      <c r="O692" s="12">
        <v>0</v>
      </c>
      <c r="P692" s="12">
        <v>0</v>
      </c>
    </row>
    <row r="693" spans="1:16" x14ac:dyDescent="0.35">
      <c r="A693">
        <v>691</v>
      </c>
      <c r="C693" s="14">
        <f t="shared" si="41"/>
        <v>1038704.5272676459</v>
      </c>
      <c r="D693" s="14">
        <f t="shared" si="42"/>
        <v>881013.40922906843</v>
      </c>
      <c r="E693" s="14">
        <f t="shared" si="43"/>
        <v>47992.948398986708</v>
      </c>
      <c r="F693" s="14">
        <f t="shared" si="40"/>
        <v>69589.77518716795</v>
      </c>
      <c r="H693" s="14" cm="1">
        <f t="array" ref="H693:K693">MMULT($C692:$F692,P_Matrix)</f>
        <v>989991.68449069618</v>
      </c>
      <c r="I693" s="14">
        <v>860136.47661037568</v>
      </c>
      <c r="J693" s="14">
        <v>47992.948398986708</v>
      </c>
      <c r="K693" s="14">
        <v>139179.55036657734</v>
      </c>
      <c r="M693" s="12">
        <f>MAX((Inputs!F$25*POWER(1+(Inputs!$C$3-(Inputs!$C$3*(('Steady State'!$A693-1)/Inputs!$C$4))),'Steady State'!$A693-1)),M692)</f>
        <v>48712.842776949758</v>
      </c>
      <c r="N693" s="12">
        <f>MAX((Inputs!G$25*POWER(1+(Inputs!$C$3-(Inputs!$C$3*(('Steady State'!$A693-1)/Inputs!$C$4))),'Steady State'!$A693-1)),N692)</f>
        <v>20876.932618692754</v>
      </c>
      <c r="O693" s="12">
        <v>0</v>
      </c>
      <c r="P693" s="12">
        <v>0</v>
      </c>
    </row>
    <row r="694" spans="1:16" x14ac:dyDescent="0.35">
      <c r="A694">
        <v>692</v>
      </c>
      <c r="C694" s="14">
        <f t="shared" si="41"/>
        <v>1038704.5273407262</v>
      </c>
      <c r="D694" s="14">
        <f t="shared" si="42"/>
        <v>881013.40935160988</v>
      </c>
      <c r="E694" s="14">
        <f t="shared" si="43"/>
        <v>47992.948404359166</v>
      </c>
      <c r="F694" s="14">
        <f t="shared" si="40"/>
        <v>69589.7751946481</v>
      </c>
      <c r="H694" s="14" cm="1">
        <f t="array" ref="H694:K694">MMULT($C693:$F693,P_Matrix)</f>
        <v>989991.68456377648</v>
      </c>
      <c r="I694" s="14">
        <v>860136.47673291713</v>
      </c>
      <c r="J694" s="14">
        <v>47992.948404359166</v>
      </c>
      <c r="K694" s="14">
        <v>139179.55038181605</v>
      </c>
      <c r="M694" s="12">
        <f>MAX((Inputs!F$25*POWER(1+(Inputs!$C$3-(Inputs!$C$3*(('Steady State'!$A694-1)/Inputs!$C$4))),'Steady State'!$A694-1)),M693)</f>
        <v>48712.842776949758</v>
      </c>
      <c r="N694" s="12">
        <f>MAX((Inputs!G$25*POWER(1+(Inputs!$C$3-(Inputs!$C$3*(('Steady State'!$A694-1)/Inputs!$C$4))),'Steady State'!$A694-1)),N693)</f>
        <v>20876.932618692754</v>
      </c>
      <c r="O694" s="12">
        <v>0</v>
      </c>
      <c r="P694" s="12">
        <v>0</v>
      </c>
    </row>
    <row r="695" spans="1:16" x14ac:dyDescent="0.35">
      <c r="A695">
        <v>693</v>
      </c>
      <c r="C695" s="14">
        <f t="shared" si="41"/>
        <v>1038704.5274111845</v>
      </c>
      <c r="D695" s="14">
        <f t="shared" si="42"/>
        <v>881013.40946975455</v>
      </c>
      <c r="E695" s="14">
        <f t="shared" si="43"/>
        <v>47992.948409538862</v>
      </c>
      <c r="F695" s="14">
        <f t="shared" si="40"/>
        <v>69589.775201859855</v>
      </c>
      <c r="H695" s="14" cm="1">
        <f t="array" ref="H695:K695">MMULT($C694:$F694,P_Matrix)</f>
        <v>989991.68463423476</v>
      </c>
      <c r="I695" s="14">
        <v>860136.4768510618</v>
      </c>
      <c r="J695" s="14">
        <v>47992.948409538862</v>
      </c>
      <c r="K695" s="14">
        <v>139179.55039650796</v>
      </c>
      <c r="M695" s="12">
        <f>MAX((Inputs!F$25*POWER(1+(Inputs!$C$3-(Inputs!$C$3*(('Steady State'!$A695-1)/Inputs!$C$4))),'Steady State'!$A695-1)),M694)</f>
        <v>48712.842776949758</v>
      </c>
      <c r="N695" s="12">
        <f>MAX((Inputs!G$25*POWER(1+(Inputs!$C$3-(Inputs!$C$3*(('Steady State'!$A695-1)/Inputs!$C$4))),'Steady State'!$A695-1)),N694)</f>
        <v>20876.932618692754</v>
      </c>
      <c r="O695" s="12">
        <v>0</v>
      </c>
      <c r="P695" s="12">
        <v>0</v>
      </c>
    </row>
    <row r="696" spans="1:16" x14ac:dyDescent="0.35">
      <c r="A696">
        <v>694</v>
      </c>
      <c r="C696" s="14">
        <f t="shared" si="41"/>
        <v>1038704.5274791146</v>
      </c>
      <c r="D696" s="14">
        <f t="shared" si="42"/>
        <v>881013.40958366008</v>
      </c>
      <c r="E696" s="14">
        <f t="shared" si="43"/>
        <v>47992.948414532701</v>
      </c>
      <c r="F696" s="14">
        <f t="shared" si="40"/>
        <v>69589.775208812876</v>
      </c>
      <c r="H696" s="14" cm="1">
        <f t="array" ref="H696:K696">MMULT($C695:$F695,P_Matrix)</f>
        <v>989991.68470216484</v>
      </c>
      <c r="I696" s="14">
        <v>860136.47696496733</v>
      </c>
      <c r="J696" s="14">
        <v>47992.948414532701</v>
      </c>
      <c r="K696" s="14">
        <v>139179.55041067273</v>
      </c>
      <c r="M696" s="12">
        <f>MAX((Inputs!F$25*POWER(1+(Inputs!$C$3-(Inputs!$C$3*(('Steady State'!$A696-1)/Inputs!$C$4))),'Steady State'!$A696-1)),M695)</f>
        <v>48712.842776949758</v>
      </c>
      <c r="N696" s="12">
        <f>MAX((Inputs!G$25*POWER(1+(Inputs!$C$3-(Inputs!$C$3*(('Steady State'!$A696-1)/Inputs!$C$4))),'Steady State'!$A696-1)),N695)</f>
        <v>20876.932618692754</v>
      </c>
      <c r="O696" s="12">
        <v>0</v>
      </c>
      <c r="P696" s="12">
        <v>0</v>
      </c>
    </row>
    <row r="697" spans="1:16" x14ac:dyDescent="0.35">
      <c r="A697">
        <v>695</v>
      </c>
      <c r="C697" s="14">
        <f t="shared" si="41"/>
        <v>1038704.5275446073</v>
      </c>
      <c r="D697" s="14">
        <f t="shared" si="42"/>
        <v>881013.40969347861</v>
      </c>
      <c r="E697" s="14">
        <f t="shared" si="43"/>
        <v>47992.948419347362</v>
      </c>
      <c r="F697" s="14">
        <f t="shared" si="40"/>
        <v>69589.77521551642</v>
      </c>
      <c r="H697" s="14" cm="1">
        <f t="array" ref="H697:K697">MMULT($C696:$F696,P_Matrix)</f>
        <v>989991.68476765754</v>
      </c>
      <c r="I697" s="14">
        <v>860136.47707478586</v>
      </c>
      <c r="J697" s="14">
        <v>47992.948419347362</v>
      </c>
      <c r="K697" s="14">
        <v>139179.5504243293</v>
      </c>
      <c r="M697" s="12">
        <f>MAX((Inputs!F$25*POWER(1+(Inputs!$C$3-(Inputs!$C$3*(('Steady State'!$A697-1)/Inputs!$C$4))),'Steady State'!$A697-1)),M696)</f>
        <v>48712.842776949758</v>
      </c>
      <c r="N697" s="12">
        <f>MAX((Inputs!G$25*POWER(1+(Inputs!$C$3-(Inputs!$C$3*(('Steady State'!$A697-1)/Inputs!$C$4))),'Steady State'!$A697-1)),N696)</f>
        <v>20876.932618692754</v>
      </c>
      <c r="O697" s="12">
        <v>0</v>
      </c>
      <c r="P697" s="12">
        <v>0</v>
      </c>
    </row>
    <row r="698" spans="1:16" x14ac:dyDescent="0.35">
      <c r="A698">
        <v>696</v>
      </c>
      <c r="C698" s="14">
        <f t="shared" si="41"/>
        <v>1038704.52760775</v>
      </c>
      <c r="D698" s="14">
        <f t="shared" si="42"/>
        <v>881013.40979935694</v>
      </c>
      <c r="E698" s="14">
        <f t="shared" si="43"/>
        <v>47992.948423989277</v>
      </c>
      <c r="F698" s="14">
        <f t="shared" si="40"/>
        <v>69589.77522197942</v>
      </c>
      <c r="H698" s="14" cm="1">
        <f t="array" ref="H698:K698">MMULT($C697:$F697,P_Matrix)</f>
        <v>989991.68483080028</v>
      </c>
      <c r="I698" s="14">
        <v>860136.47718066419</v>
      </c>
      <c r="J698" s="14">
        <v>47992.948423989277</v>
      </c>
      <c r="K698" s="14">
        <v>139179.55043749584</v>
      </c>
      <c r="M698" s="12">
        <f>MAX((Inputs!F$25*POWER(1+(Inputs!$C$3-(Inputs!$C$3*(('Steady State'!$A698-1)/Inputs!$C$4))),'Steady State'!$A698-1)),M697)</f>
        <v>48712.842776949758</v>
      </c>
      <c r="N698" s="12">
        <f>MAX((Inputs!G$25*POWER(1+(Inputs!$C$3-(Inputs!$C$3*(('Steady State'!$A698-1)/Inputs!$C$4))),'Steady State'!$A698-1)),N697)</f>
        <v>20876.932618692754</v>
      </c>
      <c r="O698" s="12">
        <v>0</v>
      </c>
      <c r="P698" s="12">
        <v>0</v>
      </c>
    </row>
    <row r="699" spans="1:16" x14ac:dyDescent="0.35">
      <c r="A699">
        <v>697</v>
      </c>
      <c r="C699" s="14">
        <f t="shared" si="41"/>
        <v>1038704.5276686273</v>
      </c>
      <c r="D699" s="14">
        <f t="shared" si="42"/>
        <v>881013.4099014363</v>
      </c>
      <c r="E699" s="14">
        <f t="shared" si="43"/>
        <v>47992.948428464631</v>
      </c>
      <c r="F699" s="14">
        <f t="shared" si="40"/>
        <v>69589.775228210521</v>
      </c>
      <c r="H699" s="14" cm="1">
        <f t="array" ref="H699:K699">MMULT($C698:$F698,P_Matrix)</f>
        <v>989991.68489167758</v>
      </c>
      <c r="I699" s="14">
        <v>860136.47728274355</v>
      </c>
      <c r="J699" s="14">
        <v>47992.948428464631</v>
      </c>
      <c r="K699" s="14">
        <v>139179.55045018994</v>
      </c>
      <c r="M699" s="12">
        <f>MAX((Inputs!F$25*POWER(1+(Inputs!$C$3-(Inputs!$C$3*(('Steady State'!$A699-1)/Inputs!$C$4))),'Steady State'!$A699-1)),M698)</f>
        <v>48712.842776949758</v>
      </c>
      <c r="N699" s="12">
        <f>MAX((Inputs!G$25*POWER(1+(Inputs!$C$3-(Inputs!$C$3*(('Steady State'!$A699-1)/Inputs!$C$4))),'Steady State'!$A699-1)),N698)</f>
        <v>20876.932618692754</v>
      </c>
      <c r="O699" s="12">
        <v>0</v>
      </c>
      <c r="P699" s="12">
        <v>0</v>
      </c>
    </row>
    <row r="700" spans="1:16" x14ac:dyDescent="0.35">
      <c r="A700">
        <v>698</v>
      </c>
      <c r="C700" s="14">
        <f t="shared" si="41"/>
        <v>1038704.5277273202</v>
      </c>
      <c r="D700" s="14">
        <f t="shared" si="42"/>
        <v>881013.409999853</v>
      </c>
      <c r="E700" s="14">
        <f t="shared" si="43"/>
        <v>47992.94843277942</v>
      </c>
      <c r="F700" s="14">
        <f t="shared" si="40"/>
        <v>69589.775234218076</v>
      </c>
      <c r="H700" s="14" cm="1">
        <f t="array" ref="H700:K700">MMULT($C699:$F699,P_Matrix)</f>
        <v>989991.68495037046</v>
      </c>
      <c r="I700" s="14">
        <v>860136.47738116025</v>
      </c>
      <c r="J700" s="14">
        <v>47992.94843277942</v>
      </c>
      <c r="K700" s="14">
        <v>139179.5504624286</v>
      </c>
      <c r="M700" s="12">
        <f>MAX((Inputs!F$25*POWER(1+(Inputs!$C$3-(Inputs!$C$3*(('Steady State'!$A700-1)/Inputs!$C$4))),'Steady State'!$A700-1)),M699)</f>
        <v>48712.842776949758</v>
      </c>
      <c r="N700" s="12">
        <f>MAX((Inputs!G$25*POWER(1+(Inputs!$C$3-(Inputs!$C$3*(('Steady State'!$A700-1)/Inputs!$C$4))),'Steady State'!$A700-1)),N699)</f>
        <v>20876.932618692754</v>
      </c>
      <c r="O700" s="12">
        <v>0</v>
      </c>
      <c r="P700" s="12">
        <v>0</v>
      </c>
    </row>
    <row r="701" spans="1:16" x14ac:dyDescent="0.35">
      <c r="A701">
        <v>699</v>
      </c>
      <c r="C701" s="14">
        <f t="shared" si="41"/>
        <v>1038704.5277839071</v>
      </c>
      <c r="D701" s="14">
        <f t="shared" si="42"/>
        <v>881013.41009473847</v>
      </c>
      <c r="E701" s="14">
        <f t="shared" si="43"/>
        <v>47992.948436939383</v>
      </c>
      <c r="F701" s="14">
        <f t="shared" si="40"/>
        <v>69589.775240010029</v>
      </c>
      <c r="H701" s="14" cm="1">
        <f t="array" ref="H701:K701">MMULT($C700:$F700,P_Matrix)</f>
        <v>989991.68500695738</v>
      </c>
      <c r="I701" s="14">
        <v>860136.47747604572</v>
      </c>
      <c r="J701" s="14">
        <v>47992.948436939383</v>
      </c>
      <c r="K701" s="14">
        <v>139179.5504742281</v>
      </c>
      <c r="M701" s="12">
        <f>MAX((Inputs!F$25*POWER(1+(Inputs!$C$3-(Inputs!$C$3*(('Steady State'!$A701-1)/Inputs!$C$4))),'Steady State'!$A701-1)),M700)</f>
        <v>48712.842776949758</v>
      </c>
      <c r="N701" s="12">
        <f>MAX((Inputs!G$25*POWER(1+(Inputs!$C$3-(Inputs!$C$3*(('Steady State'!$A701-1)/Inputs!$C$4))),'Steady State'!$A701-1)),N700)</f>
        <v>20876.932618692754</v>
      </c>
      <c r="O701" s="12">
        <v>0</v>
      </c>
      <c r="P701" s="12">
        <v>0</v>
      </c>
    </row>
    <row r="702" spans="1:16" x14ac:dyDescent="0.35">
      <c r="A702">
        <v>700</v>
      </c>
      <c r="C702" s="14">
        <f t="shared" si="41"/>
        <v>1038704.5278384638</v>
      </c>
      <c r="D702" s="14">
        <f t="shared" si="42"/>
        <v>881013.41018621938</v>
      </c>
      <c r="E702" s="14">
        <f t="shared" si="43"/>
        <v>47992.948440950087</v>
      </c>
      <c r="F702" s="14">
        <f t="shared" si="40"/>
        <v>69589.77524559421</v>
      </c>
      <c r="H702" s="14" cm="1">
        <f t="array" ref="H702:K702">MMULT($C701:$F701,P_Matrix)</f>
        <v>989991.68506151403</v>
      </c>
      <c r="I702" s="14">
        <v>860136.47756752663</v>
      </c>
      <c r="J702" s="14">
        <v>47992.948440950087</v>
      </c>
      <c r="K702" s="14">
        <v>139179.55048560424</v>
      </c>
      <c r="M702" s="12">
        <f>MAX((Inputs!F$25*POWER(1+(Inputs!$C$3-(Inputs!$C$3*(('Steady State'!$A702-1)/Inputs!$C$4))),'Steady State'!$A702-1)),M701)</f>
        <v>48712.842776949758</v>
      </c>
      <c r="N702" s="12">
        <f>MAX((Inputs!G$25*POWER(1+(Inputs!$C$3-(Inputs!$C$3*(('Steady State'!$A702-1)/Inputs!$C$4))),'Steady State'!$A702-1)),N701)</f>
        <v>20876.932618692754</v>
      </c>
      <c r="O702" s="12">
        <v>0</v>
      </c>
      <c r="P702" s="12">
        <v>0</v>
      </c>
    </row>
    <row r="703" spans="1:16" x14ac:dyDescent="0.35">
      <c r="A703">
        <v>701</v>
      </c>
      <c r="C703" s="14">
        <f t="shared" si="41"/>
        <v>1038704.5278910629</v>
      </c>
      <c r="D703" s="14">
        <f t="shared" si="42"/>
        <v>881013.41027441784</v>
      </c>
      <c r="E703" s="14">
        <f t="shared" si="43"/>
        <v>47992.948444816881</v>
      </c>
      <c r="F703" s="14">
        <f t="shared" si="40"/>
        <v>69589.775250978011</v>
      </c>
      <c r="H703" s="14" cm="1">
        <f t="array" ref="H703:K703">MMULT($C702:$F702,P_Matrix)</f>
        <v>989991.68511411315</v>
      </c>
      <c r="I703" s="14">
        <v>860136.47765572509</v>
      </c>
      <c r="J703" s="14">
        <v>47992.948444816881</v>
      </c>
      <c r="K703" s="14">
        <v>139179.55049657222</v>
      </c>
      <c r="M703" s="12">
        <f>MAX((Inputs!F$25*POWER(1+(Inputs!$C$3-(Inputs!$C$3*(('Steady State'!$A703-1)/Inputs!$C$4))),'Steady State'!$A703-1)),M702)</f>
        <v>48712.842776949758</v>
      </c>
      <c r="N703" s="12">
        <f>MAX((Inputs!G$25*POWER(1+(Inputs!$C$3-(Inputs!$C$3*(('Steady State'!$A703-1)/Inputs!$C$4))),'Steady State'!$A703-1)),N702)</f>
        <v>20876.932618692754</v>
      </c>
      <c r="O703" s="12">
        <v>0</v>
      </c>
      <c r="P703" s="12">
        <v>0</v>
      </c>
    </row>
    <row r="704" spans="1:16" x14ac:dyDescent="0.35">
      <c r="A704">
        <v>702</v>
      </c>
      <c r="C704" s="14">
        <f t="shared" si="41"/>
        <v>1038704.5279417747</v>
      </c>
      <c r="D704" s="14">
        <f t="shared" si="42"/>
        <v>881013.41035945166</v>
      </c>
      <c r="E704" s="14">
        <f t="shared" si="43"/>
        <v>47992.948448544936</v>
      </c>
      <c r="F704" s="14">
        <f t="shared" si="40"/>
        <v>69589.775256168621</v>
      </c>
      <c r="H704" s="14" cm="1">
        <f t="array" ref="H704:K704">MMULT($C703:$F703,P_Matrix)</f>
        <v>989991.68516482494</v>
      </c>
      <c r="I704" s="14">
        <v>860136.47774075891</v>
      </c>
      <c r="J704" s="14">
        <v>47992.948448544936</v>
      </c>
      <c r="K704" s="14">
        <v>139179.55050714663</v>
      </c>
      <c r="M704" s="12">
        <f>MAX((Inputs!F$25*POWER(1+(Inputs!$C$3-(Inputs!$C$3*(('Steady State'!$A704-1)/Inputs!$C$4))),'Steady State'!$A704-1)),M703)</f>
        <v>48712.842776949758</v>
      </c>
      <c r="N704" s="12">
        <f>MAX((Inputs!G$25*POWER(1+(Inputs!$C$3-(Inputs!$C$3*(('Steady State'!$A704-1)/Inputs!$C$4))),'Steady State'!$A704-1)),N703)</f>
        <v>20876.932618692754</v>
      </c>
      <c r="O704" s="12">
        <v>0</v>
      </c>
      <c r="P704" s="12">
        <v>0</v>
      </c>
    </row>
    <row r="705" spans="1:16" x14ac:dyDescent="0.35">
      <c r="A705">
        <v>703</v>
      </c>
      <c r="C705" s="14">
        <f t="shared" si="41"/>
        <v>1038704.5279906669</v>
      </c>
      <c r="D705" s="14">
        <f t="shared" si="42"/>
        <v>881013.41044143448</v>
      </c>
      <c r="E705" s="14">
        <f t="shared" si="43"/>
        <v>47992.948452139222</v>
      </c>
      <c r="F705" s="14">
        <f t="shared" si="40"/>
        <v>69589.775261173025</v>
      </c>
      <c r="H705" s="14" cm="1">
        <f t="array" ref="H705:K705">MMULT($C704:$F704,P_Matrix)</f>
        <v>989991.68521371717</v>
      </c>
      <c r="I705" s="14">
        <v>860136.47782274173</v>
      </c>
      <c r="J705" s="14">
        <v>47992.948452139222</v>
      </c>
      <c r="K705" s="14">
        <v>139179.55051734165</v>
      </c>
      <c r="M705" s="12">
        <f>MAX((Inputs!F$25*POWER(1+(Inputs!$C$3-(Inputs!$C$3*(('Steady State'!$A705-1)/Inputs!$C$4))),'Steady State'!$A705-1)),M704)</f>
        <v>48712.842776949758</v>
      </c>
      <c r="N705" s="12">
        <f>MAX((Inputs!G$25*POWER(1+(Inputs!$C$3-(Inputs!$C$3*(('Steady State'!$A705-1)/Inputs!$C$4))),'Steady State'!$A705-1)),N704)</f>
        <v>20876.932618692754</v>
      </c>
      <c r="O705" s="12">
        <v>0</v>
      </c>
      <c r="P705" s="12">
        <v>0</v>
      </c>
    </row>
    <row r="706" spans="1:16" x14ac:dyDescent="0.35">
      <c r="A706">
        <v>704</v>
      </c>
      <c r="C706" s="14">
        <f t="shared" si="41"/>
        <v>1038704.5280378049</v>
      </c>
      <c r="D706" s="14">
        <f t="shared" si="42"/>
        <v>881013.41052047571</v>
      </c>
      <c r="E706" s="14">
        <f t="shared" si="43"/>
        <v>47992.94845560455</v>
      </c>
      <c r="F706" s="14">
        <f t="shared" si="40"/>
        <v>69589.775265997858</v>
      </c>
      <c r="H706" s="14" cm="1">
        <f t="array" ref="H706:K706">MMULT($C705:$F705,P_Matrix)</f>
        <v>989991.68526085513</v>
      </c>
      <c r="I706" s="14">
        <v>860136.47790178296</v>
      </c>
      <c r="J706" s="14">
        <v>47992.94845560455</v>
      </c>
      <c r="K706" s="14">
        <v>139179.55052717088</v>
      </c>
      <c r="M706" s="12">
        <f>MAX((Inputs!F$25*POWER(1+(Inputs!$C$3-(Inputs!$C$3*(('Steady State'!$A706-1)/Inputs!$C$4))),'Steady State'!$A706-1)),M705)</f>
        <v>48712.842776949758</v>
      </c>
      <c r="N706" s="12">
        <f>MAX((Inputs!G$25*POWER(1+(Inputs!$C$3-(Inputs!$C$3*(('Steady State'!$A706-1)/Inputs!$C$4))),'Steady State'!$A706-1)),N705)</f>
        <v>20876.932618692754</v>
      </c>
      <c r="O706" s="12">
        <v>0</v>
      </c>
      <c r="P706" s="12">
        <v>0</v>
      </c>
    </row>
    <row r="707" spans="1:16" x14ac:dyDescent="0.35">
      <c r="A707">
        <v>705</v>
      </c>
      <c r="C707" s="14">
        <f t="shared" si="41"/>
        <v>1038704.5280832514</v>
      </c>
      <c r="D707" s="14">
        <f t="shared" si="42"/>
        <v>881013.41059668094</v>
      </c>
      <c r="E707" s="14">
        <f t="shared" si="43"/>
        <v>47992.948458945539</v>
      </c>
      <c r="F707" s="14">
        <f t="shared" ref="F707:F770" si="44">(K707+P707)-F706</f>
        <v>69589.775270649552</v>
      </c>
      <c r="H707" s="14" cm="1">
        <f t="array" ref="H707:K707">MMULT($C706:$F706,P_Matrix)</f>
        <v>989991.68530630169</v>
      </c>
      <c r="I707" s="14">
        <v>860136.47797798819</v>
      </c>
      <c r="J707" s="14">
        <v>47992.948458945539</v>
      </c>
      <c r="K707" s="14">
        <v>139179.55053664741</v>
      </c>
      <c r="M707" s="12">
        <f>MAX((Inputs!F$25*POWER(1+(Inputs!$C$3-(Inputs!$C$3*(('Steady State'!$A707-1)/Inputs!$C$4))),'Steady State'!$A707-1)),M706)</f>
        <v>48712.842776949758</v>
      </c>
      <c r="N707" s="12">
        <f>MAX((Inputs!G$25*POWER(1+(Inputs!$C$3-(Inputs!$C$3*(('Steady State'!$A707-1)/Inputs!$C$4))),'Steady State'!$A707-1)),N706)</f>
        <v>20876.932618692754</v>
      </c>
      <c r="O707" s="12">
        <v>0</v>
      </c>
      <c r="P707" s="12">
        <v>0</v>
      </c>
    </row>
    <row r="708" spans="1:16" x14ac:dyDescent="0.35">
      <c r="A708">
        <v>706</v>
      </c>
      <c r="C708" s="14">
        <f t="shared" ref="C708:C771" si="45">H708+M708</f>
        <v>1038704.5281270674</v>
      </c>
      <c r="D708" s="14">
        <f t="shared" ref="D708:D771" si="46">I708+N708</f>
        <v>881013.41067015182</v>
      </c>
      <c r="E708" s="14">
        <f t="shared" ref="E708:E771" si="47">J708+O708</f>
        <v>47992.948462166649</v>
      </c>
      <c r="F708" s="14">
        <f t="shared" si="44"/>
        <v>69589.775275134336</v>
      </c>
      <c r="H708" s="14" cm="1">
        <f t="array" ref="H708:K708">MMULT($C707:$F707,P_Matrix)</f>
        <v>989991.68535011762</v>
      </c>
      <c r="I708" s="14">
        <v>860136.47805145907</v>
      </c>
      <c r="J708" s="14">
        <v>47992.948462166649</v>
      </c>
      <c r="K708" s="14">
        <v>139179.55054578389</v>
      </c>
      <c r="M708" s="12">
        <f>MAX((Inputs!F$25*POWER(1+(Inputs!$C$3-(Inputs!$C$3*(('Steady State'!$A708-1)/Inputs!$C$4))),'Steady State'!$A708-1)),M707)</f>
        <v>48712.842776949758</v>
      </c>
      <c r="N708" s="12">
        <f>MAX((Inputs!G$25*POWER(1+(Inputs!$C$3-(Inputs!$C$3*(('Steady State'!$A708-1)/Inputs!$C$4))),'Steady State'!$A708-1)),N707)</f>
        <v>20876.932618692754</v>
      </c>
      <c r="O708" s="12">
        <v>0</v>
      </c>
      <c r="P708" s="12">
        <v>0</v>
      </c>
    </row>
    <row r="709" spans="1:16" x14ac:dyDescent="0.35">
      <c r="A709">
        <v>707</v>
      </c>
      <c r="C709" s="14">
        <f t="shared" si="45"/>
        <v>1038704.5281693112</v>
      </c>
      <c r="D709" s="14">
        <f t="shared" si="46"/>
        <v>881013.4107409867</v>
      </c>
      <c r="E709" s="14">
        <f t="shared" si="47"/>
        <v>47992.94846527218</v>
      </c>
      <c r="F709" s="14">
        <f t="shared" si="44"/>
        <v>69589.775279458234</v>
      </c>
      <c r="H709" s="14" cm="1">
        <f t="array" ref="H709:K709">MMULT($C708:$F708,P_Matrix)</f>
        <v>989991.68539236148</v>
      </c>
      <c r="I709" s="14">
        <v>860136.47812229395</v>
      </c>
      <c r="J709" s="14">
        <v>47992.94846527218</v>
      </c>
      <c r="K709" s="14">
        <v>139179.55055459257</v>
      </c>
      <c r="M709" s="12">
        <f>MAX((Inputs!F$25*POWER(1+(Inputs!$C$3-(Inputs!$C$3*(('Steady State'!$A709-1)/Inputs!$C$4))),'Steady State'!$A709-1)),M708)</f>
        <v>48712.842776949758</v>
      </c>
      <c r="N709" s="12">
        <f>MAX((Inputs!G$25*POWER(1+(Inputs!$C$3-(Inputs!$C$3*(('Steady State'!$A709-1)/Inputs!$C$4))),'Steady State'!$A709-1)),N708)</f>
        <v>20876.932618692754</v>
      </c>
      <c r="O709" s="12">
        <v>0</v>
      </c>
      <c r="P709" s="12">
        <v>0</v>
      </c>
    </row>
    <row r="710" spans="1:16" x14ac:dyDescent="0.35">
      <c r="A710">
        <v>708</v>
      </c>
      <c r="C710" s="14">
        <f t="shared" si="45"/>
        <v>1038704.5282100393</v>
      </c>
      <c r="D710" s="14">
        <f t="shared" si="46"/>
        <v>881013.41080927989</v>
      </c>
      <c r="E710" s="14">
        <f t="shared" si="47"/>
        <v>47992.948468266288</v>
      </c>
      <c r="F710" s="14">
        <f t="shared" si="44"/>
        <v>69589.775283626979</v>
      </c>
      <c r="H710" s="14" cm="1">
        <f t="array" ref="H710:K710">MMULT($C709:$F709,P_Matrix)</f>
        <v>989991.6854330895</v>
      </c>
      <c r="I710" s="14">
        <v>860136.47819058714</v>
      </c>
      <c r="J710" s="14">
        <v>47992.948468266288</v>
      </c>
      <c r="K710" s="14">
        <v>139179.55056308521</v>
      </c>
      <c r="M710" s="12">
        <f>MAX((Inputs!F$25*POWER(1+(Inputs!$C$3-(Inputs!$C$3*(('Steady State'!$A710-1)/Inputs!$C$4))),'Steady State'!$A710-1)),M709)</f>
        <v>48712.842776949758</v>
      </c>
      <c r="N710" s="12">
        <f>MAX((Inputs!G$25*POWER(1+(Inputs!$C$3-(Inputs!$C$3*(('Steady State'!$A710-1)/Inputs!$C$4))),'Steady State'!$A710-1)),N709)</f>
        <v>20876.932618692754</v>
      </c>
      <c r="O710" s="12">
        <v>0</v>
      </c>
      <c r="P710" s="12">
        <v>0</v>
      </c>
    </row>
    <row r="711" spans="1:16" x14ac:dyDescent="0.35">
      <c r="A711">
        <v>709</v>
      </c>
      <c r="C711" s="14">
        <f t="shared" si="45"/>
        <v>1038704.5282493059</v>
      </c>
      <c r="D711" s="14">
        <f t="shared" si="46"/>
        <v>881013.41087512276</v>
      </c>
      <c r="E711" s="14">
        <f t="shared" si="47"/>
        <v>47992.948471152966</v>
      </c>
      <c r="F711" s="14">
        <f t="shared" si="44"/>
        <v>69589.77528764616</v>
      </c>
      <c r="H711" s="14" cm="1">
        <f t="array" ref="H711:K711">MMULT($C710:$F710,P_Matrix)</f>
        <v>989991.68547235616</v>
      </c>
      <c r="I711" s="14">
        <v>860136.47825643001</v>
      </c>
      <c r="J711" s="14">
        <v>47992.948471152966</v>
      </c>
      <c r="K711" s="14">
        <v>139179.55057127314</v>
      </c>
      <c r="M711" s="12">
        <f>MAX((Inputs!F$25*POWER(1+(Inputs!$C$3-(Inputs!$C$3*(('Steady State'!$A711-1)/Inputs!$C$4))),'Steady State'!$A711-1)),M710)</f>
        <v>48712.842776949758</v>
      </c>
      <c r="N711" s="12">
        <f>MAX((Inputs!G$25*POWER(1+(Inputs!$C$3-(Inputs!$C$3*(('Steady State'!$A711-1)/Inputs!$C$4))),'Steady State'!$A711-1)),N710)</f>
        <v>20876.932618692754</v>
      </c>
      <c r="O711" s="12">
        <v>0</v>
      </c>
      <c r="P711" s="12">
        <v>0</v>
      </c>
    </row>
    <row r="712" spans="1:16" x14ac:dyDescent="0.35">
      <c r="A712">
        <v>710</v>
      </c>
      <c r="C712" s="14">
        <f t="shared" si="45"/>
        <v>1038704.5282871637</v>
      </c>
      <c r="D712" s="14">
        <f t="shared" si="46"/>
        <v>881013.41093860311</v>
      </c>
      <c r="E712" s="14">
        <f t="shared" si="47"/>
        <v>47992.948473936063</v>
      </c>
      <c r="F712" s="14">
        <f t="shared" si="44"/>
        <v>69589.775291521102</v>
      </c>
      <c r="H712" s="14" cm="1">
        <f t="array" ref="H712:K712">MMULT($C711:$F711,P_Matrix)</f>
        <v>989991.68551021395</v>
      </c>
      <c r="I712" s="14">
        <v>860136.47831991035</v>
      </c>
      <c r="J712" s="14">
        <v>47992.948473936063</v>
      </c>
      <c r="K712" s="14">
        <v>139179.55057916726</v>
      </c>
      <c r="M712" s="12">
        <f>MAX((Inputs!F$25*POWER(1+(Inputs!$C$3-(Inputs!$C$3*(('Steady State'!$A712-1)/Inputs!$C$4))),'Steady State'!$A712-1)),M711)</f>
        <v>48712.842776949758</v>
      </c>
      <c r="N712" s="12">
        <f>MAX((Inputs!G$25*POWER(1+(Inputs!$C$3-(Inputs!$C$3*(('Steady State'!$A712-1)/Inputs!$C$4))),'Steady State'!$A712-1)),N711)</f>
        <v>20876.932618692754</v>
      </c>
      <c r="O712" s="12">
        <v>0</v>
      </c>
      <c r="P712" s="12">
        <v>0</v>
      </c>
    </row>
    <row r="713" spans="1:16" x14ac:dyDescent="0.35">
      <c r="A713">
        <v>711</v>
      </c>
      <c r="C713" s="14">
        <f t="shared" si="45"/>
        <v>1038704.5283236633</v>
      </c>
      <c r="D713" s="14">
        <f t="shared" si="46"/>
        <v>881013.41099980578</v>
      </c>
      <c r="E713" s="14">
        <f t="shared" si="47"/>
        <v>47992.948476619305</v>
      </c>
      <c r="F713" s="14">
        <f t="shared" si="44"/>
        <v>69589.775295257015</v>
      </c>
      <c r="H713" s="14" cm="1">
        <f t="array" ref="H713:K713">MMULT($C712:$F712,P_Matrix)</f>
        <v>989991.68554671353</v>
      </c>
      <c r="I713" s="14">
        <v>860136.47838111303</v>
      </c>
      <c r="J713" s="14">
        <v>47992.948476619305</v>
      </c>
      <c r="K713" s="14">
        <v>139179.55058677812</v>
      </c>
      <c r="M713" s="12">
        <f>MAX((Inputs!F$25*POWER(1+(Inputs!$C$3-(Inputs!$C$3*(('Steady State'!$A713-1)/Inputs!$C$4))),'Steady State'!$A713-1)),M712)</f>
        <v>48712.842776949758</v>
      </c>
      <c r="N713" s="12">
        <f>MAX((Inputs!G$25*POWER(1+(Inputs!$C$3-(Inputs!$C$3*(('Steady State'!$A713-1)/Inputs!$C$4))),'Steady State'!$A713-1)),N712)</f>
        <v>20876.932618692754</v>
      </c>
      <c r="O713" s="12">
        <v>0</v>
      </c>
      <c r="P713" s="12">
        <v>0</v>
      </c>
    </row>
    <row r="714" spans="1:16" x14ac:dyDescent="0.35">
      <c r="A714">
        <v>712</v>
      </c>
      <c r="C714" s="14">
        <f t="shared" si="45"/>
        <v>1038704.5283588532</v>
      </c>
      <c r="D714" s="14">
        <f t="shared" si="46"/>
        <v>881013.4110588124</v>
      </c>
      <c r="E714" s="14">
        <f t="shared" si="47"/>
        <v>47992.948479206272</v>
      </c>
      <c r="F714" s="14">
        <f t="shared" si="44"/>
        <v>69589.775298858905</v>
      </c>
      <c r="H714" s="14" cm="1">
        <f t="array" ref="H714:K714">MMULT($C713:$F713,P_Matrix)</f>
        <v>989991.68558190344</v>
      </c>
      <c r="I714" s="14">
        <v>860136.47844011965</v>
      </c>
      <c r="J714" s="14">
        <v>47992.948479206272</v>
      </c>
      <c r="K714" s="14">
        <v>139179.55059411592</v>
      </c>
      <c r="M714" s="12">
        <f>MAX((Inputs!F$25*POWER(1+(Inputs!$C$3-(Inputs!$C$3*(('Steady State'!$A714-1)/Inputs!$C$4))),'Steady State'!$A714-1)),M713)</f>
        <v>48712.842776949758</v>
      </c>
      <c r="N714" s="12">
        <f>MAX((Inputs!G$25*POWER(1+(Inputs!$C$3-(Inputs!$C$3*(('Steady State'!$A714-1)/Inputs!$C$4))),'Steady State'!$A714-1)),N713)</f>
        <v>20876.932618692754</v>
      </c>
      <c r="O714" s="12">
        <v>0</v>
      </c>
      <c r="P714" s="12">
        <v>0</v>
      </c>
    </row>
    <row r="715" spans="1:16" x14ac:dyDescent="0.35">
      <c r="A715">
        <v>713</v>
      </c>
      <c r="C715" s="14">
        <f t="shared" si="45"/>
        <v>1038704.5283927805</v>
      </c>
      <c r="D715" s="14">
        <f t="shared" si="46"/>
        <v>881013.41111570178</v>
      </c>
      <c r="E715" s="14">
        <f t="shared" si="47"/>
        <v>47992.94848170042</v>
      </c>
      <c r="F715" s="14">
        <f t="shared" si="44"/>
        <v>69589.775302331516</v>
      </c>
      <c r="H715" s="14" cm="1">
        <f t="array" ref="H715:K715">MMULT($C714:$F714,P_Matrix)</f>
        <v>989991.68561583071</v>
      </c>
      <c r="I715" s="14">
        <v>860136.47849700903</v>
      </c>
      <c r="J715" s="14">
        <v>47992.94848170042</v>
      </c>
      <c r="K715" s="14">
        <v>139179.55060119042</v>
      </c>
      <c r="M715" s="12">
        <f>MAX((Inputs!F$25*POWER(1+(Inputs!$C$3-(Inputs!$C$3*(('Steady State'!$A715-1)/Inputs!$C$4))),'Steady State'!$A715-1)),M714)</f>
        <v>48712.842776949758</v>
      </c>
      <c r="N715" s="12">
        <f>MAX((Inputs!G$25*POWER(1+(Inputs!$C$3-(Inputs!$C$3*(('Steady State'!$A715-1)/Inputs!$C$4))),'Steady State'!$A715-1)),N714)</f>
        <v>20876.932618692754</v>
      </c>
      <c r="O715" s="12">
        <v>0</v>
      </c>
      <c r="P715" s="12">
        <v>0</v>
      </c>
    </row>
    <row r="716" spans="1:16" x14ac:dyDescent="0.35">
      <c r="A716">
        <v>714</v>
      </c>
      <c r="C716" s="14">
        <f t="shared" si="45"/>
        <v>1038704.5284254904</v>
      </c>
      <c r="D716" s="14">
        <f t="shared" si="46"/>
        <v>881013.41117055004</v>
      </c>
      <c r="E716" s="14">
        <f t="shared" si="47"/>
        <v>47992.948484105073</v>
      </c>
      <c r="F716" s="14">
        <f t="shared" si="44"/>
        <v>69589.775305679563</v>
      </c>
      <c r="H716" s="14" cm="1">
        <f t="array" ref="H716:K716">MMULT($C715:$F715,P_Matrix)</f>
        <v>989991.68564854062</v>
      </c>
      <c r="I716" s="14">
        <v>860136.47855185729</v>
      </c>
      <c r="J716" s="14">
        <v>47992.948484105073</v>
      </c>
      <c r="K716" s="14">
        <v>139179.55060801108</v>
      </c>
      <c r="M716" s="12">
        <f>MAX((Inputs!F$25*POWER(1+(Inputs!$C$3-(Inputs!$C$3*(('Steady State'!$A716-1)/Inputs!$C$4))),'Steady State'!$A716-1)),M715)</f>
        <v>48712.842776949758</v>
      </c>
      <c r="N716" s="12">
        <f>MAX((Inputs!G$25*POWER(1+(Inputs!$C$3-(Inputs!$C$3*(('Steady State'!$A716-1)/Inputs!$C$4))),'Steady State'!$A716-1)),N715)</f>
        <v>20876.932618692754</v>
      </c>
      <c r="O716" s="12">
        <v>0</v>
      </c>
      <c r="P716" s="12">
        <v>0</v>
      </c>
    </row>
    <row r="717" spans="1:16" x14ac:dyDescent="0.35">
      <c r="A717">
        <v>715</v>
      </c>
      <c r="C717" s="14">
        <f t="shared" si="45"/>
        <v>1038704.5284570267</v>
      </c>
      <c r="D717" s="14">
        <f t="shared" si="46"/>
        <v>881013.41122343019</v>
      </c>
      <c r="E717" s="14">
        <f t="shared" si="47"/>
        <v>47992.948486423447</v>
      </c>
      <c r="F717" s="14">
        <f t="shared" si="44"/>
        <v>69589.775308907469</v>
      </c>
      <c r="H717" s="14" cm="1">
        <f t="array" ref="H717:K717">MMULT($C716:$F716,P_Matrix)</f>
        <v>989991.68568007695</v>
      </c>
      <c r="I717" s="14">
        <v>860136.47860473744</v>
      </c>
      <c r="J717" s="14">
        <v>47992.948486423447</v>
      </c>
      <c r="K717" s="14">
        <v>139179.55061458703</v>
      </c>
      <c r="M717" s="12">
        <f>MAX((Inputs!F$25*POWER(1+(Inputs!$C$3-(Inputs!$C$3*(('Steady State'!$A717-1)/Inputs!$C$4))),'Steady State'!$A717-1)),M716)</f>
        <v>48712.842776949758</v>
      </c>
      <c r="N717" s="12">
        <f>MAX((Inputs!G$25*POWER(1+(Inputs!$C$3-(Inputs!$C$3*(('Steady State'!$A717-1)/Inputs!$C$4))),'Steady State'!$A717-1)),N716)</f>
        <v>20876.932618692754</v>
      </c>
      <c r="O717" s="12">
        <v>0</v>
      </c>
      <c r="P717" s="12">
        <v>0</v>
      </c>
    </row>
    <row r="718" spans="1:16" x14ac:dyDescent="0.35">
      <c r="A718">
        <v>716</v>
      </c>
      <c r="C718" s="14">
        <f t="shared" si="45"/>
        <v>1038704.5284874315</v>
      </c>
      <c r="D718" s="14">
        <f t="shared" si="46"/>
        <v>881013.411274413</v>
      </c>
      <c r="E718" s="14">
        <f t="shared" si="47"/>
        <v>47992.948488658636</v>
      </c>
      <c r="F718" s="14">
        <f t="shared" si="44"/>
        <v>69589.77531201957</v>
      </c>
      <c r="H718" s="14" cm="1">
        <f t="array" ref="H718:K718">MMULT($C717:$F717,P_Matrix)</f>
        <v>989991.68571048172</v>
      </c>
      <c r="I718" s="14">
        <v>860136.47865572025</v>
      </c>
      <c r="J718" s="14">
        <v>47992.948488658636</v>
      </c>
      <c r="K718" s="14">
        <v>139179.55062092704</v>
      </c>
      <c r="M718" s="12">
        <f>MAX((Inputs!F$25*POWER(1+(Inputs!$C$3-(Inputs!$C$3*(('Steady State'!$A718-1)/Inputs!$C$4))),'Steady State'!$A718-1)),M717)</f>
        <v>48712.842776949758</v>
      </c>
      <c r="N718" s="12">
        <f>MAX((Inputs!G$25*POWER(1+(Inputs!$C$3-(Inputs!$C$3*(('Steady State'!$A718-1)/Inputs!$C$4))),'Steady State'!$A718-1)),N717)</f>
        <v>20876.932618692754</v>
      </c>
      <c r="O718" s="12">
        <v>0</v>
      </c>
      <c r="P718" s="12">
        <v>0</v>
      </c>
    </row>
    <row r="719" spans="1:16" x14ac:dyDescent="0.35">
      <c r="A719">
        <v>717</v>
      </c>
      <c r="C719" s="14">
        <f t="shared" si="45"/>
        <v>1038704.5285167452</v>
      </c>
      <c r="D719" s="14">
        <f t="shared" si="46"/>
        <v>881013.41132356669</v>
      </c>
      <c r="E719" s="14">
        <f t="shared" si="47"/>
        <v>47992.948490813622</v>
      </c>
      <c r="F719" s="14">
        <f t="shared" si="44"/>
        <v>69589.775315020001</v>
      </c>
      <c r="H719" s="14" cm="1">
        <f t="array" ref="H719:K719">MMULT($C718:$F718,P_Matrix)</f>
        <v>989991.68573979544</v>
      </c>
      <c r="I719" s="14">
        <v>860136.47870487394</v>
      </c>
      <c r="J719" s="14">
        <v>47992.948490813622</v>
      </c>
      <c r="K719" s="14">
        <v>139179.55062703957</v>
      </c>
      <c r="M719" s="12">
        <f>MAX((Inputs!F$25*POWER(1+(Inputs!$C$3-(Inputs!$C$3*(('Steady State'!$A719-1)/Inputs!$C$4))),'Steady State'!$A719-1)),M718)</f>
        <v>48712.842776949758</v>
      </c>
      <c r="N719" s="12">
        <f>MAX((Inputs!G$25*POWER(1+(Inputs!$C$3-(Inputs!$C$3*(('Steady State'!$A719-1)/Inputs!$C$4))),'Steady State'!$A719-1)),N718)</f>
        <v>20876.932618692754</v>
      </c>
      <c r="O719" s="12">
        <v>0</v>
      </c>
      <c r="P719" s="12">
        <v>0</v>
      </c>
    </row>
    <row r="720" spans="1:16" x14ac:dyDescent="0.35">
      <c r="A720">
        <v>718</v>
      </c>
      <c r="C720" s="14">
        <f t="shared" si="45"/>
        <v>1038704.5285450071</v>
      </c>
      <c r="D720" s="14">
        <f t="shared" si="46"/>
        <v>881013.41137095669</v>
      </c>
      <c r="E720" s="14">
        <f t="shared" si="47"/>
        <v>47992.948492891286</v>
      </c>
      <c r="F720" s="14">
        <f t="shared" si="44"/>
        <v>69589.775317912747</v>
      </c>
      <c r="H720" s="14" cm="1">
        <f t="array" ref="H720:K720">MMULT($C719:$F719,P_Matrix)</f>
        <v>989991.68576805736</v>
      </c>
      <c r="I720" s="14">
        <v>860136.47875226394</v>
      </c>
      <c r="J720" s="14">
        <v>47992.948492891286</v>
      </c>
      <c r="K720" s="14">
        <v>139179.55063293275</v>
      </c>
      <c r="M720" s="12">
        <f>MAX((Inputs!F$25*POWER(1+(Inputs!$C$3-(Inputs!$C$3*(('Steady State'!$A720-1)/Inputs!$C$4))),'Steady State'!$A720-1)),M719)</f>
        <v>48712.842776949758</v>
      </c>
      <c r="N720" s="12">
        <f>MAX((Inputs!G$25*POWER(1+(Inputs!$C$3-(Inputs!$C$3*(('Steady State'!$A720-1)/Inputs!$C$4))),'Steady State'!$A720-1)),N719)</f>
        <v>20876.932618692754</v>
      </c>
      <c r="O720" s="12">
        <v>0</v>
      </c>
      <c r="P720" s="12">
        <v>0</v>
      </c>
    </row>
    <row r="721" spans="1:16" x14ac:dyDescent="0.35">
      <c r="A721">
        <v>719</v>
      </c>
      <c r="C721" s="14">
        <f t="shared" si="45"/>
        <v>1038704.528572255</v>
      </c>
      <c r="D721" s="14">
        <f t="shared" si="46"/>
        <v>881013.41141664621</v>
      </c>
      <c r="E721" s="14">
        <f t="shared" si="47"/>
        <v>47992.948494894408</v>
      </c>
      <c r="F721" s="14">
        <f t="shared" si="44"/>
        <v>69589.775320701709</v>
      </c>
      <c r="H721" s="14" cm="1">
        <f t="array" ref="H721:K721">MMULT($C720:$F720,P_Matrix)</f>
        <v>989991.6857953053</v>
      </c>
      <c r="I721" s="14">
        <v>860136.47879795346</v>
      </c>
      <c r="J721" s="14">
        <v>47992.948494894408</v>
      </c>
      <c r="K721" s="14">
        <v>139179.55063861446</v>
      </c>
      <c r="M721" s="12">
        <f>MAX((Inputs!F$25*POWER(1+(Inputs!$C$3-(Inputs!$C$3*(('Steady State'!$A721-1)/Inputs!$C$4))),'Steady State'!$A721-1)),M720)</f>
        <v>48712.842776949758</v>
      </c>
      <c r="N721" s="12">
        <f>MAX((Inputs!G$25*POWER(1+(Inputs!$C$3-(Inputs!$C$3*(('Steady State'!$A721-1)/Inputs!$C$4))),'Steady State'!$A721-1)),N720)</f>
        <v>20876.932618692754</v>
      </c>
      <c r="O721" s="12">
        <v>0</v>
      </c>
      <c r="P721" s="12">
        <v>0</v>
      </c>
    </row>
    <row r="722" spans="1:16" x14ac:dyDescent="0.35">
      <c r="A722">
        <v>720</v>
      </c>
      <c r="C722" s="14">
        <f t="shared" si="45"/>
        <v>1038704.5285985254</v>
      </c>
      <c r="D722" s="14">
        <f t="shared" si="46"/>
        <v>881013.41146069637</v>
      </c>
      <c r="E722" s="14">
        <f t="shared" si="47"/>
        <v>47992.948496825658</v>
      </c>
      <c r="F722" s="14">
        <f t="shared" si="44"/>
        <v>69589.775323390641</v>
      </c>
      <c r="H722" s="14" cm="1">
        <f t="array" ref="H722:K722">MMULT($C721:$F721,P_Matrix)</f>
        <v>989991.68582157569</v>
      </c>
      <c r="I722" s="14">
        <v>860136.47884200362</v>
      </c>
      <c r="J722" s="14">
        <v>47992.948496825658</v>
      </c>
      <c r="K722" s="14">
        <v>139179.55064409235</v>
      </c>
      <c r="M722" s="12">
        <f>MAX((Inputs!F$25*POWER(1+(Inputs!$C$3-(Inputs!$C$3*(('Steady State'!$A722-1)/Inputs!$C$4))),'Steady State'!$A722-1)),M721)</f>
        <v>48712.842776949758</v>
      </c>
      <c r="N722" s="12">
        <f>MAX((Inputs!G$25*POWER(1+(Inputs!$C$3-(Inputs!$C$3*(('Steady State'!$A722-1)/Inputs!$C$4))),'Steady State'!$A722-1)),N721)</f>
        <v>20876.932618692754</v>
      </c>
      <c r="O722" s="12">
        <v>0</v>
      </c>
      <c r="P722" s="12">
        <v>0</v>
      </c>
    </row>
    <row r="723" spans="1:16" x14ac:dyDescent="0.35">
      <c r="A723">
        <v>721</v>
      </c>
      <c r="C723" s="14">
        <f t="shared" si="45"/>
        <v>1038704.5286238532</v>
      </c>
      <c r="D723" s="14">
        <f t="shared" si="46"/>
        <v>881013.41150316608</v>
      </c>
      <c r="E723" s="14">
        <f t="shared" si="47"/>
        <v>47992.94849868762</v>
      </c>
      <c r="F723" s="14">
        <f t="shared" si="44"/>
        <v>69589.775325983064</v>
      </c>
      <c r="H723" s="14" cm="1">
        <f t="array" ref="H723:K723">MMULT($C722:$F722,P_Matrix)</f>
        <v>989991.68584690348</v>
      </c>
      <c r="I723" s="14">
        <v>860136.47888447333</v>
      </c>
      <c r="J723" s="14">
        <v>47992.94849868762</v>
      </c>
      <c r="K723" s="14">
        <v>139179.5506493737</v>
      </c>
      <c r="M723" s="12">
        <f>MAX((Inputs!F$25*POWER(1+(Inputs!$C$3-(Inputs!$C$3*(('Steady State'!$A723-1)/Inputs!$C$4))),'Steady State'!$A723-1)),M722)</f>
        <v>48712.842776949758</v>
      </c>
      <c r="N723" s="12">
        <f>MAX((Inputs!G$25*POWER(1+(Inputs!$C$3-(Inputs!$C$3*(('Steady State'!$A723-1)/Inputs!$C$4))),'Steady State'!$A723-1)),N722)</f>
        <v>20876.932618692754</v>
      </c>
      <c r="O723" s="12">
        <v>0</v>
      </c>
      <c r="P723" s="12">
        <v>0</v>
      </c>
    </row>
    <row r="724" spans="1:16" x14ac:dyDescent="0.35">
      <c r="A724">
        <v>722</v>
      </c>
      <c r="C724" s="14">
        <f t="shared" si="45"/>
        <v>1038704.5286482722</v>
      </c>
      <c r="D724" s="14">
        <f t="shared" si="46"/>
        <v>881013.41154411202</v>
      </c>
      <c r="E724" s="14">
        <f t="shared" si="47"/>
        <v>47992.948500482766</v>
      </c>
      <c r="F724" s="14">
        <f t="shared" si="44"/>
        <v>69589.775328482472</v>
      </c>
      <c r="H724" s="14" cm="1">
        <f t="array" ref="H724:K724">MMULT($C723:$F723,P_Matrix)</f>
        <v>989991.68587132241</v>
      </c>
      <c r="I724" s="14">
        <v>860136.47892541927</v>
      </c>
      <c r="J724" s="14">
        <v>47992.948500482766</v>
      </c>
      <c r="K724" s="14">
        <v>139179.55065446554</v>
      </c>
      <c r="M724" s="12">
        <f>MAX((Inputs!F$25*POWER(1+(Inputs!$C$3-(Inputs!$C$3*(('Steady State'!$A724-1)/Inputs!$C$4))),'Steady State'!$A724-1)),M723)</f>
        <v>48712.842776949758</v>
      </c>
      <c r="N724" s="12">
        <f>MAX((Inputs!G$25*POWER(1+(Inputs!$C$3-(Inputs!$C$3*(('Steady State'!$A724-1)/Inputs!$C$4))),'Steady State'!$A724-1)),N723)</f>
        <v>20876.932618692754</v>
      </c>
      <c r="O724" s="12">
        <v>0</v>
      </c>
      <c r="P724" s="12">
        <v>0</v>
      </c>
    </row>
    <row r="725" spans="1:16" x14ac:dyDescent="0.35">
      <c r="A725">
        <v>723</v>
      </c>
      <c r="C725" s="14">
        <f t="shared" si="45"/>
        <v>1038704.5286718149</v>
      </c>
      <c r="D725" s="14">
        <f t="shared" si="46"/>
        <v>881013.41158358881</v>
      </c>
      <c r="E725" s="14">
        <f t="shared" si="47"/>
        <v>47992.948502213505</v>
      </c>
      <c r="F725" s="14">
        <f t="shared" si="44"/>
        <v>69589.775330892211</v>
      </c>
      <c r="H725" s="14" cm="1">
        <f t="array" ref="H725:K725">MMULT($C724:$F724,P_Matrix)</f>
        <v>989991.68589486519</v>
      </c>
      <c r="I725" s="14">
        <v>860136.47896489606</v>
      </c>
      <c r="J725" s="14">
        <v>47992.948502213505</v>
      </c>
      <c r="K725" s="14">
        <v>139179.55065937468</v>
      </c>
      <c r="M725" s="12">
        <f>MAX((Inputs!F$25*POWER(1+(Inputs!$C$3-(Inputs!$C$3*(('Steady State'!$A725-1)/Inputs!$C$4))),'Steady State'!$A725-1)),M724)</f>
        <v>48712.842776949758</v>
      </c>
      <c r="N725" s="12">
        <f>MAX((Inputs!G$25*POWER(1+(Inputs!$C$3-(Inputs!$C$3*(('Steady State'!$A725-1)/Inputs!$C$4))),'Steady State'!$A725-1)),N724)</f>
        <v>20876.932618692754</v>
      </c>
      <c r="O725" s="12">
        <v>0</v>
      </c>
      <c r="P725" s="12">
        <v>0</v>
      </c>
    </row>
    <row r="726" spans="1:16" x14ac:dyDescent="0.35">
      <c r="A726">
        <v>724</v>
      </c>
      <c r="C726" s="14">
        <f t="shared" si="45"/>
        <v>1038704.528694513</v>
      </c>
      <c r="D726" s="14">
        <f t="shared" si="46"/>
        <v>881013.41162164917</v>
      </c>
      <c r="E726" s="14">
        <f t="shared" si="47"/>
        <v>47992.948503882144</v>
      </c>
      <c r="F726" s="14">
        <f t="shared" si="44"/>
        <v>69589.775333215512</v>
      </c>
      <c r="H726" s="14" cm="1">
        <f t="array" ref="H726:K726">MMULT($C725:$F725,P_Matrix)</f>
        <v>989991.68591756327</v>
      </c>
      <c r="I726" s="14">
        <v>860136.47900295642</v>
      </c>
      <c r="J726" s="14">
        <v>47992.948503882144</v>
      </c>
      <c r="K726" s="14">
        <v>139179.55066410772</v>
      </c>
      <c r="M726" s="12">
        <f>MAX((Inputs!F$25*POWER(1+(Inputs!$C$3-(Inputs!$C$3*(('Steady State'!$A726-1)/Inputs!$C$4))),'Steady State'!$A726-1)),M725)</f>
        <v>48712.842776949758</v>
      </c>
      <c r="N726" s="12">
        <f>MAX((Inputs!G$25*POWER(1+(Inputs!$C$3-(Inputs!$C$3*(('Steady State'!$A726-1)/Inputs!$C$4))),'Steady State'!$A726-1)),N725)</f>
        <v>20876.932618692754</v>
      </c>
      <c r="O726" s="12">
        <v>0</v>
      </c>
      <c r="P726" s="12">
        <v>0</v>
      </c>
    </row>
    <row r="727" spans="1:16" x14ac:dyDescent="0.35">
      <c r="A727">
        <v>725</v>
      </c>
      <c r="C727" s="14">
        <f t="shared" si="45"/>
        <v>1038704.5287163965</v>
      </c>
      <c r="D727" s="14">
        <f t="shared" si="46"/>
        <v>881013.41165834386</v>
      </c>
      <c r="E727" s="14">
        <f t="shared" si="47"/>
        <v>47992.948505490909</v>
      </c>
      <c r="F727" s="14">
        <f t="shared" si="44"/>
        <v>69589.775335455401</v>
      </c>
      <c r="H727" s="14" cm="1">
        <f t="array" ref="H727:K727">MMULT($C726:$F726,P_Matrix)</f>
        <v>989991.68593944679</v>
      </c>
      <c r="I727" s="14">
        <v>860136.47903965111</v>
      </c>
      <c r="J727" s="14">
        <v>47992.948505490909</v>
      </c>
      <c r="K727" s="14">
        <v>139179.55066867091</v>
      </c>
      <c r="M727" s="12">
        <f>MAX((Inputs!F$25*POWER(1+(Inputs!$C$3-(Inputs!$C$3*(('Steady State'!$A727-1)/Inputs!$C$4))),'Steady State'!$A727-1)),M726)</f>
        <v>48712.842776949758</v>
      </c>
      <c r="N727" s="12">
        <f>MAX((Inputs!G$25*POWER(1+(Inputs!$C$3-(Inputs!$C$3*(('Steady State'!$A727-1)/Inputs!$C$4))),'Steady State'!$A727-1)),N726)</f>
        <v>20876.932618692754</v>
      </c>
      <c r="O727" s="12">
        <v>0</v>
      </c>
      <c r="P727" s="12">
        <v>0</v>
      </c>
    </row>
    <row r="728" spans="1:16" x14ac:dyDescent="0.35">
      <c r="A728">
        <v>726</v>
      </c>
      <c r="C728" s="14">
        <f t="shared" si="45"/>
        <v>1038704.528737495</v>
      </c>
      <c r="D728" s="14">
        <f t="shared" si="46"/>
        <v>881013.41169372189</v>
      </c>
      <c r="E728" s="14">
        <f t="shared" si="47"/>
        <v>47992.948507041947</v>
      </c>
      <c r="F728" s="14">
        <f t="shared" si="44"/>
        <v>69589.775337614934</v>
      </c>
      <c r="H728" s="14" cm="1">
        <f t="array" ref="H728:K728">MMULT($C727:$F727,P_Matrix)</f>
        <v>989991.6859605452</v>
      </c>
      <c r="I728" s="14">
        <v>860136.47907502914</v>
      </c>
      <c r="J728" s="14">
        <v>47992.948507041947</v>
      </c>
      <c r="K728" s="14">
        <v>139179.55067307033</v>
      </c>
      <c r="M728" s="12">
        <f>MAX((Inputs!F$25*POWER(1+(Inputs!$C$3-(Inputs!$C$3*(('Steady State'!$A728-1)/Inputs!$C$4))),'Steady State'!$A728-1)),M727)</f>
        <v>48712.842776949758</v>
      </c>
      <c r="N728" s="12">
        <f>MAX((Inputs!G$25*POWER(1+(Inputs!$C$3-(Inputs!$C$3*(('Steady State'!$A728-1)/Inputs!$C$4))),'Steady State'!$A728-1)),N727)</f>
        <v>20876.932618692754</v>
      </c>
      <c r="O728" s="12">
        <v>0</v>
      </c>
      <c r="P728" s="12">
        <v>0</v>
      </c>
    </row>
    <row r="729" spans="1:16" x14ac:dyDescent="0.35">
      <c r="A729">
        <v>727</v>
      </c>
      <c r="C729" s="14">
        <f t="shared" si="45"/>
        <v>1038704.5287578363</v>
      </c>
      <c r="D729" s="14">
        <f t="shared" si="46"/>
        <v>881013.41172783053</v>
      </c>
      <c r="E729" s="14">
        <f t="shared" si="47"/>
        <v>47992.948508537338</v>
      </c>
      <c r="F729" s="14">
        <f t="shared" si="44"/>
        <v>69589.775339696993</v>
      </c>
      <c r="H729" s="14" cm="1">
        <f t="array" ref="H729:K729">MMULT($C728:$F728,P_Matrix)</f>
        <v>989991.68598088657</v>
      </c>
      <c r="I729" s="14">
        <v>860136.47910913778</v>
      </c>
      <c r="J729" s="14">
        <v>47992.948508537338</v>
      </c>
      <c r="K729" s="14">
        <v>139179.55067731193</v>
      </c>
      <c r="M729" s="12">
        <f>MAX((Inputs!F$25*POWER(1+(Inputs!$C$3-(Inputs!$C$3*(('Steady State'!$A729-1)/Inputs!$C$4))),'Steady State'!$A729-1)),M728)</f>
        <v>48712.842776949758</v>
      </c>
      <c r="N729" s="12">
        <f>MAX((Inputs!G$25*POWER(1+(Inputs!$C$3-(Inputs!$C$3*(('Steady State'!$A729-1)/Inputs!$C$4))),'Steady State'!$A729-1)),N728)</f>
        <v>20876.932618692754</v>
      </c>
      <c r="O729" s="12">
        <v>0</v>
      </c>
      <c r="P729" s="12">
        <v>0</v>
      </c>
    </row>
    <row r="730" spans="1:16" x14ac:dyDescent="0.35">
      <c r="A730">
        <v>728</v>
      </c>
      <c r="C730" s="14">
        <f t="shared" si="45"/>
        <v>1038704.5287774479</v>
      </c>
      <c r="D730" s="14">
        <f t="shared" si="46"/>
        <v>881013.4117607153</v>
      </c>
      <c r="E730" s="14">
        <f t="shared" si="47"/>
        <v>47992.948509979069</v>
      </c>
      <c r="F730" s="14">
        <f t="shared" si="44"/>
        <v>69589.775341704342</v>
      </c>
      <c r="H730" s="14" cm="1">
        <f t="array" ref="H730:K730">MMULT($C729:$F729,P_Matrix)</f>
        <v>989991.68600049813</v>
      </c>
      <c r="I730" s="14">
        <v>860136.47914202255</v>
      </c>
      <c r="J730" s="14">
        <v>47992.948509979069</v>
      </c>
      <c r="K730" s="14">
        <v>139179.55068140134</v>
      </c>
      <c r="M730" s="12">
        <f>MAX((Inputs!F$25*POWER(1+(Inputs!$C$3-(Inputs!$C$3*(('Steady State'!$A730-1)/Inputs!$C$4))),'Steady State'!$A730-1)),M729)</f>
        <v>48712.842776949758</v>
      </c>
      <c r="N730" s="12">
        <f>MAX((Inputs!G$25*POWER(1+(Inputs!$C$3-(Inputs!$C$3*(('Steady State'!$A730-1)/Inputs!$C$4))),'Steady State'!$A730-1)),N729)</f>
        <v>20876.932618692754</v>
      </c>
      <c r="O730" s="12">
        <v>0</v>
      </c>
      <c r="P730" s="12">
        <v>0</v>
      </c>
    </row>
    <row r="731" spans="1:16" x14ac:dyDescent="0.35">
      <c r="A731">
        <v>729</v>
      </c>
      <c r="C731" s="14">
        <f t="shared" si="45"/>
        <v>1038704.5287963557</v>
      </c>
      <c r="D731" s="14">
        <f t="shared" si="46"/>
        <v>881013.41179242008</v>
      </c>
      <c r="E731" s="14">
        <f t="shared" si="47"/>
        <v>47992.948511369075</v>
      </c>
      <c r="F731" s="14">
        <f t="shared" si="44"/>
        <v>69589.77534363966</v>
      </c>
      <c r="H731" s="14" cm="1">
        <f t="array" ref="H731:K731">MMULT($C730:$F730,P_Matrix)</f>
        <v>989991.68601940596</v>
      </c>
      <c r="I731" s="14">
        <v>860136.47917372733</v>
      </c>
      <c r="J731" s="14">
        <v>47992.948511369075</v>
      </c>
      <c r="K731" s="14">
        <v>139179.550685344</v>
      </c>
      <c r="M731" s="12">
        <f>MAX((Inputs!F$25*POWER(1+(Inputs!$C$3-(Inputs!$C$3*(('Steady State'!$A731-1)/Inputs!$C$4))),'Steady State'!$A731-1)),M730)</f>
        <v>48712.842776949758</v>
      </c>
      <c r="N731" s="12">
        <f>MAX((Inputs!G$25*POWER(1+(Inputs!$C$3-(Inputs!$C$3*(('Steady State'!$A731-1)/Inputs!$C$4))),'Steady State'!$A731-1)),N730)</f>
        <v>20876.932618692754</v>
      </c>
      <c r="O731" s="12">
        <v>0</v>
      </c>
      <c r="P731" s="12">
        <v>0</v>
      </c>
    </row>
    <row r="732" spans="1:16" x14ac:dyDescent="0.35">
      <c r="A732">
        <v>730</v>
      </c>
      <c r="C732" s="14">
        <f t="shared" si="45"/>
        <v>1038704.5288145852</v>
      </c>
      <c r="D732" s="14">
        <f t="shared" si="46"/>
        <v>881013.41182298737</v>
      </c>
      <c r="E732" s="14">
        <f t="shared" si="47"/>
        <v>47992.948512709205</v>
      </c>
      <c r="F732" s="14">
        <f t="shared" si="44"/>
        <v>69589.775345505535</v>
      </c>
      <c r="H732" s="14" cm="1">
        <f t="array" ref="H732:K732">MMULT($C731:$F731,P_Matrix)</f>
        <v>989991.68603763543</v>
      </c>
      <c r="I732" s="14">
        <v>860136.47920429462</v>
      </c>
      <c r="J732" s="14">
        <v>47992.948512709205</v>
      </c>
      <c r="K732" s="14">
        <v>139179.5506891452</v>
      </c>
      <c r="M732" s="12">
        <f>MAX((Inputs!F$25*POWER(1+(Inputs!$C$3-(Inputs!$C$3*(('Steady State'!$A732-1)/Inputs!$C$4))),'Steady State'!$A732-1)),M731)</f>
        <v>48712.842776949758</v>
      </c>
      <c r="N732" s="12">
        <f>MAX((Inputs!G$25*POWER(1+(Inputs!$C$3-(Inputs!$C$3*(('Steady State'!$A732-1)/Inputs!$C$4))),'Steady State'!$A732-1)),N731)</f>
        <v>20876.932618692754</v>
      </c>
      <c r="O732" s="12">
        <v>0</v>
      </c>
      <c r="P732" s="12">
        <v>0</v>
      </c>
    </row>
    <row r="733" spans="1:16" x14ac:dyDescent="0.35">
      <c r="A733">
        <v>731</v>
      </c>
      <c r="C733" s="14">
        <f t="shared" si="45"/>
        <v>1038704.5288321606</v>
      </c>
      <c r="D733" s="14">
        <f t="shared" si="46"/>
        <v>881013.41185245791</v>
      </c>
      <c r="E733" s="14">
        <f t="shared" si="47"/>
        <v>47992.948514001248</v>
      </c>
      <c r="F733" s="14">
        <f t="shared" si="44"/>
        <v>69589.775347304472</v>
      </c>
      <c r="H733" s="14" cm="1">
        <f t="array" ref="H733:K733">MMULT($C732:$F732,P_Matrix)</f>
        <v>989991.68605521088</v>
      </c>
      <c r="I733" s="14">
        <v>860136.47923376516</v>
      </c>
      <c r="J733" s="14">
        <v>47992.948514001248</v>
      </c>
      <c r="K733" s="14">
        <v>139179.55069281001</v>
      </c>
      <c r="M733" s="12">
        <f>MAX((Inputs!F$25*POWER(1+(Inputs!$C$3-(Inputs!$C$3*(('Steady State'!$A733-1)/Inputs!$C$4))),'Steady State'!$A733-1)),M732)</f>
        <v>48712.842776949758</v>
      </c>
      <c r="N733" s="12">
        <f>MAX((Inputs!G$25*POWER(1+(Inputs!$C$3-(Inputs!$C$3*(('Steady State'!$A733-1)/Inputs!$C$4))),'Steady State'!$A733-1)),N732)</f>
        <v>20876.932618692754</v>
      </c>
      <c r="O733" s="12">
        <v>0</v>
      </c>
      <c r="P733" s="12">
        <v>0</v>
      </c>
    </row>
    <row r="734" spans="1:16" x14ac:dyDescent="0.35">
      <c r="A734">
        <v>732</v>
      </c>
      <c r="C734" s="14">
        <f t="shared" si="45"/>
        <v>1038704.5288491054</v>
      </c>
      <c r="D734" s="14">
        <f t="shared" si="46"/>
        <v>881013.41188087105</v>
      </c>
      <c r="E734" s="14">
        <f t="shared" si="47"/>
        <v>47992.948515246935</v>
      </c>
      <c r="F734" s="14">
        <f t="shared" si="44"/>
        <v>69589.775349038886</v>
      </c>
      <c r="H734" s="14" cm="1">
        <f t="array" ref="H734:K734">MMULT($C733:$F733,P_Matrix)</f>
        <v>989991.6860721556</v>
      </c>
      <c r="I734" s="14">
        <v>860136.4792621783</v>
      </c>
      <c r="J734" s="14">
        <v>47992.948515246935</v>
      </c>
      <c r="K734" s="14">
        <v>139179.55069634336</v>
      </c>
      <c r="M734" s="12">
        <f>MAX((Inputs!F$25*POWER(1+(Inputs!$C$3-(Inputs!$C$3*(('Steady State'!$A734-1)/Inputs!$C$4))),'Steady State'!$A734-1)),M733)</f>
        <v>48712.842776949758</v>
      </c>
      <c r="N734" s="12">
        <f>MAX((Inputs!G$25*POWER(1+(Inputs!$C$3-(Inputs!$C$3*(('Steady State'!$A734-1)/Inputs!$C$4))),'Steady State'!$A734-1)),N733)</f>
        <v>20876.932618692754</v>
      </c>
      <c r="O734" s="12">
        <v>0</v>
      </c>
      <c r="P734" s="12">
        <v>0</v>
      </c>
    </row>
    <row r="735" spans="1:16" x14ac:dyDescent="0.35">
      <c r="A735">
        <v>733</v>
      </c>
      <c r="C735" s="14">
        <f t="shared" si="45"/>
        <v>1038704.528865442</v>
      </c>
      <c r="D735" s="14">
        <f t="shared" si="46"/>
        <v>881013.41190826474</v>
      </c>
      <c r="E735" s="14">
        <f t="shared" si="47"/>
        <v>47992.948516447927</v>
      </c>
      <c r="F735" s="14">
        <f t="shared" si="44"/>
        <v>69589.775350711017</v>
      </c>
      <c r="H735" s="14" cm="1">
        <f t="array" ref="H735:K735">MMULT($C734:$F734,P_Matrix)</f>
        <v>989991.68608849228</v>
      </c>
      <c r="I735" s="14">
        <v>860136.47928957199</v>
      </c>
      <c r="J735" s="14">
        <v>47992.948516447927</v>
      </c>
      <c r="K735" s="14">
        <v>139179.5506997499</v>
      </c>
      <c r="M735" s="12">
        <f>MAX((Inputs!F$25*POWER(1+(Inputs!$C$3-(Inputs!$C$3*(('Steady State'!$A735-1)/Inputs!$C$4))),'Steady State'!$A735-1)),M734)</f>
        <v>48712.842776949758</v>
      </c>
      <c r="N735" s="12">
        <f>MAX((Inputs!G$25*POWER(1+(Inputs!$C$3-(Inputs!$C$3*(('Steady State'!$A735-1)/Inputs!$C$4))),'Steady State'!$A735-1)),N734)</f>
        <v>20876.932618692754</v>
      </c>
      <c r="O735" s="12">
        <v>0</v>
      </c>
      <c r="P735" s="12">
        <v>0</v>
      </c>
    </row>
    <row r="736" spans="1:16" x14ac:dyDescent="0.35">
      <c r="A736">
        <v>734</v>
      </c>
      <c r="C736" s="14">
        <f t="shared" si="45"/>
        <v>1038704.5288811926</v>
      </c>
      <c r="D736" s="14">
        <f t="shared" si="46"/>
        <v>881013.41193467542</v>
      </c>
      <c r="E736" s="14">
        <f t="shared" si="47"/>
        <v>47992.948517605822</v>
      </c>
      <c r="F736" s="14">
        <f t="shared" si="44"/>
        <v>69589.775352323195</v>
      </c>
      <c r="H736" s="14" cm="1">
        <f t="array" ref="H736:K736">MMULT($C735:$F735,P_Matrix)</f>
        <v>989991.68610424281</v>
      </c>
      <c r="I736" s="14">
        <v>860136.47931598267</v>
      </c>
      <c r="J736" s="14">
        <v>47992.948517605822</v>
      </c>
      <c r="K736" s="14">
        <v>139179.55070303421</v>
      </c>
      <c r="M736" s="12">
        <f>MAX((Inputs!F$25*POWER(1+(Inputs!$C$3-(Inputs!$C$3*(('Steady State'!$A736-1)/Inputs!$C$4))),'Steady State'!$A736-1)),M735)</f>
        <v>48712.842776949758</v>
      </c>
      <c r="N736" s="12">
        <f>MAX((Inputs!G$25*POWER(1+(Inputs!$C$3-(Inputs!$C$3*(('Steady State'!$A736-1)/Inputs!$C$4))),'Steady State'!$A736-1)),N735)</f>
        <v>20876.932618692754</v>
      </c>
      <c r="O736" s="12">
        <v>0</v>
      </c>
      <c r="P736" s="12">
        <v>0</v>
      </c>
    </row>
    <row r="737" spans="1:16" x14ac:dyDescent="0.35">
      <c r="A737">
        <v>735</v>
      </c>
      <c r="C737" s="14">
        <f t="shared" si="45"/>
        <v>1038704.528896378</v>
      </c>
      <c r="D737" s="14">
        <f t="shared" si="46"/>
        <v>881013.41196013847</v>
      </c>
      <c r="E737" s="14">
        <f t="shared" si="47"/>
        <v>47992.948518722173</v>
      </c>
      <c r="F737" s="14">
        <f t="shared" si="44"/>
        <v>69589.775353877514</v>
      </c>
      <c r="H737" s="14" cm="1">
        <f t="array" ref="H737:K737">MMULT($C736:$F736,P_Matrix)</f>
        <v>989991.68611942825</v>
      </c>
      <c r="I737" s="14">
        <v>860136.47934144572</v>
      </c>
      <c r="J737" s="14">
        <v>47992.948518722173</v>
      </c>
      <c r="K737" s="14">
        <v>139179.55070620071</v>
      </c>
      <c r="M737" s="12">
        <f>MAX((Inputs!F$25*POWER(1+(Inputs!$C$3-(Inputs!$C$3*(('Steady State'!$A737-1)/Inputs!$C$4))),'Steady State'!$A737-1)),M736)</f>
        <v>48712.842776949758</v>
      </c>
      <c r="N737" s="12">
        <f>MAX((Inputs!G$25*POWER(1+(Inputs!$C$3-(Inputs!$C$3*(('Steady State'!$A737-1)/Inputs!$C$4))),'Steady State'!$A737-1)),N736)</f>
        <v>20876.932618692754</v>
      </c>
      <c r="O737" s="12">
        <v>0</v>
      </c>
      <c r="P737" s="12">
        <v>0</v>
      </c>
    </row>
    <row r="738" spans="1:16" x14ac:dyDescent="0.35">
      <c r="A738">
        <v>736</v>
      </c>
      <c r="C738" s="14">
        <f t="shared" si="45"/>
        <v>1038704.5289110186</v>
      </c>
      <c r="D738" s="14">
        <f t="shared" si="46"/>
        <v>881013.4119846879</v>
      </c>
      <c r="E738" s="14">
        <f t="shared" si="47"/>
        <v>47992.948519798461</v>
      </c>
      <c r="F738" s="14">
        <f t="shared" si="44"/>
        <v>69589.775355376041</v>
      </c>
      <c r="H738" s="14" cm="1">
        <f t="array" ref="H738:K738">MMULT($C737:$F737,P_Matrix)</f>
        <v>989991.68613406888</v>
      </c>
      <c r="I738" s="14">
        <v>860136.47936599515</v>
      </c>
      <c r="J738" s="14">
        <v>47992.948519798461</v>
      </c>
      <c r="K738" s="14">
        <v>139179.55070925356</v>
      </c>
      <c r="M738" s="12">
        <f>MAX((Inputs!F$25*POWER(1+(Inputs!$C$3-(Inputs!$C$3*(('Steady State'!$A738-1)/Inputs!$C$4))),'Steady State'!$A738-1)),M737)</f>
        <v>48712.842776949758</v>
      </c>
      <c r="N738" s="12">
        <f>MAX((Inputs!G$25*POWER(1+(Inputs!$C$3-(Inputs!$C$3*(('Steady State'!$A738-1)/Inputs!$C$4))),'Steady State'!$A738-1)),N737)</f>
        <v>20876.932618692754</v>
      </c>
      <c r="O738" s="12">
        <v>0</v>
      </c>
      <c r="P738" s="12">
        <v>0</v>
      </c>
    </row>
    <row r="739" spans="1:16" x14ac:dyDescent="0.35">
      <c r="A739">
        <v>737</v>
      </c>
      <c r="C739" s="14">
        <f t="shared" si="45"/>
        <v>1038704.5289251339</v>
      </c>
      <c r="D739" s="14">
        <f t="shared" si="46"/>
        <v>881013.41200835654</v>
      </c>
      <c r="E739" s="14">
        <f t="shared" si="47"/>
        <v>47992.948520836144</v>
      </c>
      <c r="F739" s="14">
        <f t="shared" si="44"/>
        <v>69589.775356820814</v>
      </c>
      <c r="H739" s="14" cm="1">
        <f t="array" ref="H739:K739">MMULT($C738:$F738,P_Matrix)</f>
        <v>989991.68614818412</v>
      </c>
      <c r="I739" s="14">
        <v>860136.47938966379</v>
      </c>
      <c r="J739" s="14">
        <v>47992.948520836144</v>
      </c>
      <c r="K739" s="14">
        <v>139179.55071219685</v>
      </c>
      <c r="M739" s="12">
        <f>MAX((Inputs!F$25*POWER(1+(Inputs!$C$3-(Inputs!$C$3*(('Steady State'!$A739-1)/Inputs!$C$4))),'Steady State'!$A739-1)),M738)</f>
        <v>48712.842776949758</v>
      </c>
      <c r="N739" s="12">
        <f>MAX((Inputs!G$25*POWER(1+(Inputs!$C$3-(Inputs!$C$3*(('Steady State'!$A739-1)/Inputs!$C$4))),'Steady State'!$A739-1)),N738)</f>
        <v>20876.932618692754</v>
      </c>
      <c r="O739" s="12">
        <v>0</v>
      </c>
      <c r="P739" s="12">
        <v>0</v>
      </c>
    </row>
    <row r="740" spans="1:16" x14ac:dyDescent="0.35">
      <c r="A740">
        <v>738</v>
      </c>
      <c r="C740" s="14">
        <f t="shared" si="45"/>
        <v>1038704.5289387427</v>
      </c>
      <c r="D740" s="14">
        <f t="shared" si="46"/>
        <v>881013.4120311758</v>
      </c>
      <c r="E740" s="14">
        <f t="shared" si="47"/>
        <v>47992.948521836588</v>
      </c>
      <c r="F740" s="14">
        <f t="shared" si="44"/>
        <v>69589.775358213752</v>
      </c>
      <c r="H740" s="14" cm="1">
        <f t="array" ref="H740:K740">MMULT($C739:$F739,P_Matrix)</f>
        <v>989991.68616179295</v>
      </c>
      <c r="I740" s="14">
        <v>860136.47941248305</v>
      </c>
      <c r="J740" s="14">
        <v>47992.948521836588</v>
      </c>
      <c r="K740" s="14">
        <v>139179.55071503457</v>
      </c>
      <c r="M740" s="12">
        <f>MAX((Inputs!F$25*POWER(1+(Inputs!$C$3-(Inputs!$C$3*(('Steady State'!$A740-1)/Inputs!$C$4))),'Steady State'!$A740-1)),M739)</f>
        <v>48712.842776949758</v>
      </c>
      <c r="N740" s="12">
        <f>MAX((Inputs!G$25*POWER(1+(Inputs!$C$3-(Inputs!$C$3*(('Steady State'!$A740-1)/Inputs!$C$4))),'Steady State'!$A740-1)),N739)</f>
        <v>20876.932618692754</v>
      </c>
      <c r="O740" s="12">
        <v>0</v>
      </c>
      <c r="P740" s="12">
        <v>0</v>
      </c>
    </row>
    <row r="741" spans="1:16" x14ac:dyDescent="0.35">
      <c r="A741">
        <v>739</v>
      </c>
      <c r="C741" s="14">
        <f t="shared" si="45"/>
        <v>1038704.5289518632</v>
      </c>
      <c r="D741" s="14">
        <f t="shared" si="46"/>
        <v>881013.41205317632</v>
      </c>
      <c r="E741" s="14">
        <f t="shared" si="47"/>
        <v>47992.94852280114</v>
      </c>
      <c r="F741" s="14">
        <f t="shared" si="44"/>
        <v>69589.775359556719</v>
      </c>
      <c r="H741" s="14" cm="1">
        <f t="array" ref="H741:K741">MMULT($C740:$F740,P_Matrix)</f>
        <v>989991.68617491343</v>
      </c>
      <c r="I741" s="14">
        <v>860136.47943448357</v>
      </c>
      <c r="J741" s="14">
        <v>47992.94852280114</v>
      </c>
      <c r="K741" s="14">
        <v>139179.55071777047</v>
      </c>
      <c r="M741" s="12">
        <f>MAX((Inputs!F$25*POWER(1+(Inputs!$C$3-(Inputs!$C$3*(('Steady State'!$A741-1)/Inputs!$C$4))),'Steady State'!$A741-1)),M740)</f>
        <v>48712.842776949758</v>
      </c>
      <c r="N741" s="12">
        <f>MAX((Inputs!G$25*POWER(1+(Inputs!$C$3-(Inputs!$C$3*(('Steady State'!$A741-1)/Inputs!$C$4))),'Steady State'!$A741-1)),N740)</f>
        <v>20876.932618692754</v>
      </c>
      <c r="O741" s="12">
        <v>0</v>
      </c>
      <c r="P741" s="12">
        <v>0</v>
      </c>
    </row>
    <row r="742" spans="1:16" x14ac:dyDescent="0.35">
      <c r="A742">
        <v>740</v>
      </c>
      <c r="C742" s="14">
        <f t="shared" si="45"/>
        <v>1038704.5289645129</v>
      </c>
      <c r="D742" s="14">
        <f t="shared" si="46"/>
        <v>881013.41207438754</v>
      </c>
      <c r="E742" s="14">
        <f t="shared" si="47"/>
        <v>47992.94852373108</v>
      </c>
      <c r="F742" s="14">
        <f t="shared" si="44"/>
        <v>69589.77536085149</v>
      </c>
      <c r="H742" s="14" cm="1">
        <f t="array" ref="H742:K742">MMULT($C741:$F741,P_Matrix)</f>
        <v>989991.68618756311</v>
      </c>
      <c r="I742" s="14">
        <v>860136.47945569479</v>
      </c>
      <c r="J742" s="14">
        <v>47992.94852373108</v>
      </c>
      <c r="K742" s="14">
        <v>139179.55072040821</v>
      </c>
      <c r="M742" s="12">
        <f>MAX((Inputs!F$25*POWER(1+(Inputs!$C$3-(Inputs!$C$3*(('Steady State'!$A742-1)/Inputs!$C$4))),'Steady State'!$A742-1)),M741)</f>
        <v>48712.842776949758</v>
      </c>
      <c r="N742" s="12">
        <f>MAX((Inputs!G$25*POWER(1+(Inputs!$C$3-(Inputs!$C$3*(('Steady State'!$A742-1)/Inputs!$C$4))),'Steady State'!$A742-1)),N741)</f>
        <v>20876.932618692754</v>
      </c>
      <c r="O742" s="12">
        <v>0</v>
      </c>
      <c r="P742" s="12">
        <v>0</v>
      </c>
    </row>
    <row r="743" spans="1:16" x14ac:dyDescent="0.35">
      <c r="A743">
        <v>741</v>
      </c>
      <c r="C743" s="14">
        <f t="shared" si="45"/>
        <v>1038704.5289767087</v>
      </c>
      <c r="D743" s="14">
        <f t="shared" si="46"/>
        <v>881013.41209483775</v>
      </c>
      <c r="E743" s="14">
        <f t="shared" si="47"/>
        <v>47992.948524627653</v>
      </c>
      <c r="F743" s="14">
        <f t="shared" si="44"/>
        <v>69589.775362099783</v>
      </c>
      <c r="H743" s="14" cm="1">
        <f t="array" ref="H743:K743">MMULT($C742:$F742,P_Matrix)</f>
        <v>989991.6861997589</v>
      </c>
      <c r="I743" s="14">
        <v>860136.479476145</v>
      </c>
      <c r="J743" s="14">
        <v>47992.948524627653</v>
      </c>
      <c r="K743" s="14">
        <v>139179.55072295127</v>
      </c>
      <c r="M743" s="12">
        <f>MAX((Inputs!F$25*POWER(1+(Inputs!$C$3-(Inputs!$C$3*(('Steady State'!$A743-1)/Inputs!$C$4))),'Steady State'!$A743-1)),M742)</f>
        <v>48712.842776949758</v>
      </c>
      <c r="N743" s="12">
        <f>MAX((Inputs!G$25*POWER(1+(Inputs!$C$3-(Inputs!$C$3*(('Steady State'!$A743-1)/Inputs!$C$4))),'Steady State'!$A743-1)),N742)</f>
        <v>20876.932618692754</v>
      </c>
      <c r="O743" s="12">
        <v>0</v>
      </c>
      <c r="P743" s="12">
        <v>0</v>
      </c>
    </row>
    <row r="744" spans="1:16" x14ac:dyDescent="0.35">
      <c r="A744">
        <v>742</v>
      </c>
      <c r="C744" s="14">
        <f t="shared" si="45"/>
        <v>1038704.5289884669</v>
      </c>
      <c r="D744" s="14">
        <f t="shared" si="46"/>
        <v>881013.4121145542</v>
      </c>
      <c r="E744" s="14">
        <f t="shared" si="47"/>
        <v>47992.948525492058</v>
      </c>
      <c r="F744" s="14">
        <f t="shared" si="44"/>
        <v>69589.775363303284</v>
      </c>
      <c r="H744" s="14" cm="1">
        <f t="array" ref="H744:K744">MMULT($C743:$F743,P_Matrix)</f>
        <v>989991.6862115172</v>
      </c>
      <c r="I744" s="14">
        <v>860136.47949586145</v>
      </c>
      <c r="J744" s="14">
        <v>47992.948525492058</v>
      </c>
      <c r="K744" s="14">
        <v>139179.55072540307</v>
      </c>
      <c r="M744" s="12">
        <f>MAX((Inputs!F$25*POWER(1+(Inputs!$C$3-(Inputs!$C$3*(('Steady State'!$A744-1)/Inputs!$C$4))),'Steady State'!$A744-1)),M743)</f>
        <v>48712.842776949758</v>
      </c>
      <c r="N744" s="12">
        <f>MAX((Inputs!G$25*POWER(1+(Inputs!$C$3-(Inputs!$C$3*(('Steady State'!$A744-1)/Inputs!$C$4))),'Steady State'!$A744-1)),N743)</f>
        <v>20876.932618692754</v>
      </c>
      <c r="O744" s="12">
        <v>0</v>
      </c>
      <c r="P744" s="12">
        <v>0</v>
      </c>
    </row>
    <row r="745" spans="1:16" x14ac:dyDescent="0.35">
      <c r="A745">
        <v>743</v>
      </c>
      <c r="C745" s="14">
        <f t="shared" si="45"/>
        <v>1038704.5289998035</v>
      </c>
      <c r="D745" s="14">
        <f t="shared" si="46"/>
        <v>881013.41213356319</v>
      </c>
      <c r="E745" s="14">
        <f t="shared" si="47"/>
        <v>47992.948526325446</v>
      </c>
      <c r="F745" s="14">
        <f t="shared" si="44"/>
        <v>69589.775364463654</v>
      </c>
      <c r="H745" s="14" cm="1">
        <f t="array" ref="H745:K745">MMULT($C744:$F744,P_Matrix)</f>
        <v>989991.68622285372</v>
      </c>
      <c r="I745" s="14">
        <v>860136.47951487044</v>
      </c>
      <c r="J745" s="14">
        <v>47992.948526325446</v>
      </c>
      <c r="K745" s="14">
        <v>139179.55072776694</v>
      </c>
      <c r="M745" s="12">
        <f>MAX((Inputs!F$25*POWER(1+(Inputs!$C$3-(Inputs!$C$3*(('Steady State'!$A745-1)/Inputs!$C$4))),'Steady State'!$A745-1)),M744)</f>
        <v>48712.842776949758</v>
      </c>
      <c r="N745" s="12">
        <f>MAX((Inputs!G$25*POWER(1+(Inputs!$C$3-(Inputs!$C$3*(('Steady State'!$A745-1)/Inputs!$C$4))),'Steady State'!$A745-1)),N744)</f>
        <v>20876.932618692754</v>
      </c>
      <c r="O745" s="12">
        <v>0</v>
      </c>
      <c r="P745" s="12">
        <v>0</v>
      </c>
    </row>
    <row r="746" spans="1:16" x14ac:dyDescent="0.35">
      <c r="A746">
        <v>744</v>
      </c>
      <c r="C746" s="14">
        <f t="shared" si="45"/>
        <v>1038704.5290107331</v>
      </c>
      <c r="D746" s="14">
        <f t="shared" si="46"/>
        <v>881013.41215189011</v>
      </c>
      <c r="E746" s="14">
        <f t="shared" si="47"/>
        <v>47992.94852712893</v>
      </c>
      <c r="F746" s="14">
        <f t="shared" si="44"/>
        <v>69589.775365582347</v>
      </c>
      <c r="H746" s="14" cm="1">
        <f t="array" ref="H746:K746">MMULT($C745:$F745,P_Matrix)</f>
        <v>989991.68623378337</v>
      </c>
      <c r="I746" s="14">
        <v>860136.47953319736</v>
      </c>
      <c r="J746" s="14">
        <v>47992.94852712893</v>
      </c>
      <c r="K746" s="14">
        <v>139179.550730046</v>
      </c>
      <c r="M746" s="12">
        <f>MAX((Inputs!F$25*POWER(1+(Inputs!$C$3-(Inputs!$C$3*(('Steady State'!$A746-1)/Inputs!$C$4))),'Steady State'!$A746-1)),M745)</f>
        <v>48712.842776949758</v>
      </c>
      <c r="N746" s="12">
        <f>MAX((Inputs!G$25*POWER(1+(Inputs!$C$3-(Inputs!$C$3*(('Steady State'!$A746-1)/Inputs!$C$4))),'Steady State'!$A746-1)),N745)</f>
        <v>20876.932618692754</v>
      </c>
      <c r="O746" s="12">
        <v>0</v>
      </c>
      <c r="P746" s="12">
        <v>0</v>
      </c>
    </row>
    <row r="747" spans="1:16" x14ac:dyDescent="0.35">
      <c r="A747">
        <v>745</v>
      </c>
      <c r="C747" s="14">
        <f t="shared" si="45"/>
        <v>1038704.5290212707</v>
      </c>
      <c r="D747" s="14">
        <f t="shared" si="46"/>
        <v>881013.41216955939</v>
      </c>
      <c r="E747" s="14">
        <f t="shared" si="47"/>
        <v>47992.948527903587</v>
      </c>
      <c r="F747" s="14">
        <f t="shared" si="44"/>
        <v>69589.775366660935</v>
      </c>
      <c r="H747" s="14" cm="1">
        <f t="array" ref="H747:K747">MMULT($C746:$F746,P_Matrix)</f>
        <v>989991.68624432094</v>
      </c>
      <c r="I747" s="14">
        <v>860136.47955086664</v>
      </c>
      <c r="J747" s="14">
        <v>47992.948527903587</v>
      </c>
      <c r="K747" s="14">
        <v>139179.55073224328</v>
      </c>
      <c r="M747" s="12">
        <f>MAX((Inputs!F$25*POWER(1+(Inputs!$C$3-(Inputs!$C$3*(('Steady State'!$A747-1)/Inputs!$C$4))),'Steady State'!$A747-1)),M746)</f>
        <v>48712.842776949758</v>
      </c>
      <c r="N747" s="12">
        <f>MAX((Inputs!G$25*POWER(1+(Inputs!$C$3-(Inputs!$C$3*(('Steady State'!$A747-1)/Inputs!$C$4))),'Steady State'!$A747-1)),N746)</f>
        <v>20876.932618692754</v>
      </c>
      <c r="O747" s="12">
        <v>0</v>
      </c>
      <c r="P747" s="12">
        <v>0</v>
      </c>
    </row>
    <row r="748" spans="1:16" x14ac:dyDescent="0.35">
      <c r="A748">
        <v>746</v>
      </c>
      <c r="C748" s="14">
        <f t="shared" si="45"/>
        <v>1038704.5290314301</v>
      </c>
      <c r="D748" s="14">
        <f t="shared" si="46"/>
        <v>881013.4121865948</v>
      </c>
      <c r="E748" s="14">
        <f t="shared" si="47"/>
        <v>47992.94852865045</v>
      </c>
      <c r="F748" s="14">
        <f t="shared" si="44"/>
        <v>69589.775367700815</v>
      </c>
      <c r="H748" s="14" cm="1">
        <f t="array" ref="H748:K748">MMULT($C747:$F747,P_Matrix)</f>
        <v>989991.68625448039</v>
      </c>
      <c r="I748" s="14">
        <v>860136.47956790205</v>
      </c>
      <c r="J748" s="14">
        <v>47992.94852865045</v>
      </c>
      <c r="K748" s="14">
        <v>139179.55073436175</v>
      </c>
      <c r="M748" s="12">
        <f>MAX((Inputs!F$25*POWER(1+(Inputs!$C$3-(Inputs!$C$3*(('Steady State'!$A748-1)/Inputs!$C$4))),'Steady State'!$A748-1)),M747)</f>
        <v>48712.842776949758</v>
      </c>
      <c r="N748" s="12">
        <f>MAX((Inputs!G$25*POWER(1+(Inputs!$C$3-(Inputs!$C$3*(('Steady State'!$A748-1)/Inputs!$C$4))),'Steady State'!$A748-1)),N747)</f>
        <v>20876.932618692754</v>
      </c>
      <c r="O748" s="12">
        <v>0</v>
      </c>
      <c r="P748" s="12">
        <v>0</v>
      </c>
    </row>
    <row r="749" spans="1:16" x14ac:dyDescent="0.35">
      <c r="A749">
        <v>747</v>
      </c>
      <c r="C749" s="14">
        <f t="shared" si="45"/>
        <v>1038704.5290412251</v>
      </c>
      <c r="D749" s="14">
        <f t="shared" si="46"/>
        <v>881013.41220301879</v>
      </c>
      <c r="E749" s="14">
        <f t="shared" si="47"/>
        <v>47992.948529370522</v>
      </c>
      <c r="F749" s="14">
        <f t="shared" si="44"/>
        <v>69589.775368703355</v>
      </c>
      <c r="H749" s="14" cm="1">
        <f t="array" ref="H749:K749">MMULT($C748:$F748,P_Matrix)</f>
        <v>989991.68626427534</v>
      </c>
      <c r="I749" s="14">
        <v>860136.47958432604</v>
      </c>
      <c r="J749" s="14">
        <v>47992.948529370522</v>
      </c>
      <c r="K749" s="14">
        <v>139179.55073640417</v>
      </c>
      <c r="M749" s="12">
        <f>MAX((Inputs!F$25*POWER(1+(Inputs!$C$3-(Inputs!$C$3*(('Steady State'!$A749-1)/Inputs!$C$4))),'Steady State'!$A749-1)),M748)</f>
        <v>48712.842776949758</v>
      </c>
      <c r="N749" s="12">
        <f>MAX((Inputs!G$25*POWER(1+(Inputs!$C$3-(Inputs!$C$3*(('Steady State'!$A749-1)/Inputs!$C$4))),'Steady State'!$A749-1)),N748)</f>
        <v>20876.932618692754</v>
      </c>
      <c r="O749" s="12">
        <v>0</v>
      </c>
      <c r="P749" s="12">
        <v>0</v>
      </c>
    </row>
    <row r="750" spans="1:16" x14ac:dyDescent="0.35">
      <c r="A750">
        <v>748</v>
      </c>
      <c r="C750" s="14">
        <f t="shared" si="45"/>
        <v>1038704.5290506686</v>
      </c>
      <c r="D750" s="14">
        <f t="shared" si="46"/>
        <v>881013.4122188536</v>
      </c>
      <c r="E750" s="14">
        <f t="shared" si="47"/>
        <v>47992.94853006475</v>
      </c>
      <c r="F750" s="14">
        <f t="shared" si="44"/>
        <v>69589.775369669951</v>
      </c>
      <c r="H750" s="14" cm="1">
        <f t="array" ref="H750:K750">MMULT($C749:$F749,P_Matrix)</f>
        <v>989991.68627371883</v>
      </c>
      <c r="I750" s="14">
        <v>860136.47960016085</v>
      </c>
      <c r="J750" s="14">
        <v>47992.94853006475</v>
      </c>
      <c r="K750" s="14">
        <v>139179.55073837331</v>
      </c>
      <c r="M750" s="12">
        <f>MAX((Inputs!F$25*POWER(1+(Inputs!$C$3-(Inputs!$C$3*(('Steady State'!$A750-1)/Inputs!$C$4))),'Steady State'!$A750-1)),M749)</f>
        <v>48712.842776949758</v>
      </c>
      <c r="N750" s="12">
        <f>MAX((Inputs!G$25*POWER(1+(Inputs!$C$3-(Inputs!$C$3*(('Steady State'!$A750-1)/Inputs!$C$4))),'Steady State'!$A750-1)),N749)</f>
        <v>20876.932618692754</v>
      </c>
      <c r="O750" s="12">
        <v>0</v>
      </c>
      <c r="P750" s="12">
        <v>0</v>
      </c>
    </row>
    <row r="751" spans="1:16" x14ac:dyDescent="0.35">
      <c r="A751">
        <v>749</v>
      </c>
      <c r="C751" s="14">
        <f t="shared" si="45"/>
        <v>1038704.5290597732</v>
      </c>
      <c r="D751" s="14">
        <f t="shared" si="46"/>
        <v>881013.41223412019</v>
      </c>
      <c r="E751" s="14">
        <f t="shared" si="47"/>
        <v>47992.948530734073</v>
      </c>
      <c r="F751" s="14">
        <f t="shared" si="44"/>
        <v>69589.775370601856</v>
      </c>
      <c r="H751" s="14" cm="1">
        <f t="array" ref="H751:K751">MMULT($C750:$F750,P_Matrix)</f>
        <v>989991.68628282344</v>
      </c>
      <c r="I751" s="14">
        <v>860136.47961542744</v>
      </c>
      <c r="J751" s="14">
        <v>47992.948530734073</v>
      </c>
      <c r="K751" s="14">
        <v>139179.55074027181</v>
      </c>
      <c r="M751" s="12">
        <f>MAX((Inputs!F$25*POWER(1+(Inputs!$C$3-(Inputs!$C$3*(('Steady State'!$A751-1)/Inputs!$C$4))),'Steady State'!$A751-1)),M750)</f>
        <v>48712.842776949758</v>
      </c>
      <c r="N751" s="12">
        <f>MAX((Inputs!G$25*POWER(1+(Inputs!$C$3-(Inputs!$C$3*(('Steady State'!$A751-1)/Inputs!$C$4))),'Steady State'!$A751-1)),N750)</f>
        <v>20876.932618692754</v>
      </c>
      <c r="O751" s="12">
        <v>0</v>
      </c>
      <c r="P751" s="12">
        <v>0</v>
      </c>
    </row>
    <row r="752" spans="1:16" x14ac:dyDescent="0.35">
      <c r="A752">
        <v>750</v>
      </c>
      <c r="C752" s="14">
        <f t="shared" si="45"/>
        <v>1038704.5290685511</v>
      </c>
      <c r="D752" s="14">
        <f t="shared" si="46"/>
        <v>881013.41224883893</v>
      </c>
      <c r="E752" s="14">
        <f t="shared" si="47"/>
        <v>47992.948531379378</v>
      </c>
      <c r="F752" s="14">
        <f t="shared" si="44"/>
        <v>69589.77537150032</v>
      </c>
      <c r="H752" s="14" cm="1">
        <f t="array" ref="H752:K752">MMULT($C751:$F751,P_Matrix)</f>
        <v>989991.68629160139</v>
      </c>
      <c r="I752" s="14">
        <v>860136.47963014618</v>
      </c>
      <c r="J752" s="14">
        <v>47992.948531379378</v>
      </c>
      <c r="K752" s="14">
        <v>139179.55074210218</v>
      </c>
      <c r="M752" s="12">
        <f>MAX((Inputs!F$25*POWER(1+(Inputs!$C$3-(Inputs!$C$3*(('Steady State'!$A752-1)/Inputs!$C$4))),'Steady State'!$A752-1)),M751)</f>
        <v>48712.842776949758</v>
      </c>
      <c r="N752" s="12">
        <f>MAX((Inputs!G$25*POWER(1+(Inputs!$C$3-(Inputs!$C$3*(('Steady State'!$A752-1)/Inputs!$C$4))),'Steady State'!$A752-1)),N751)</f>
        <v>20876.932618692754</v>
      </c>
      <c r="O752" s="12">
        <v>0</v>
      </c>
      <c r="P752" s="12">
        <v>0</v>
      </c>
    </row>
    <row r="753" spans="1:16" x14ac:dyDescent="0.35">
      <c r="A753">
        <v>751</v>
      </c>
      <c r="C753" s="14">
        <f t="shared" si="45"/>
        <v>1038704.5290770142</v>
      </c>
      <c r="D753" s="14">
        <f t="shared" si="46"/>
        <v>881013.41226302972</v>
      </c>
      <c r="E753" s="14">
        <f t="shared" si="47"/>
        <v>47992.948532001523</v>
      </c>
      <c r="F753" s="14">
        <f t="shared" si="44"/>
        <v>69589.775372366566</v>
      </c>
      <c r="H753" s="14" cm="1">
        <f t="array" ref="H753:K753">MMULT($C752:$F752,P_Matrix)</f>
        <v>989991.68630006444</v>
      </c>
      <c r="I753" s="14">
        <v>860136.47964433697</v>
      </c>
      <c r="J753" s="14">
        <v>47992.948532001523</v>
      </c>
      <c r="K753" s="14">
        <v>139179.55074386689</v>
      </c>
      <c r="M753" s="12">
        <f>MAX((Inputs!F$25*POWER(1+(Inputs!$C$3-(Inputs!$C$3*(('Steady State'!$A753-1)/Inputs!$C$4))),'Steady State'!$A753-1)),M752)</f>
        <v>48712.842776949758</v>
      </c>
      <c r="N753" s="12">
        <f>MAX((Inputs!G$25*POWER(1+(Inputs!$C$3-(Inputs!$C$3*(('Steady State'!$A753-1)/Inputs!$C$4))),'Steady State'!$A753-1)),N752)</f>
        <v>20876.932618692754</v>
      </c>
      <c r="O753" s="12">
        <v>0</v>
      </c>
      <c r="P753" s="12">
        <v>0</v>
      </c>
    </row>
    <row r="754" spans="1:16" x14ac:dyDescent="0.35">
      <c r="A754">
        <v>752</v>
      </c>
      <c r="C754" s="14">
        <f t="shared" si="45"/>
        <v>1038704.5290851736</v>
      </c>
      <c r="D754" s="14">
        <f t="shared" si="46"/>
        <v>881013.41227671131</v>
      </c>
      <c r="E754" s="14">
        <f t="shared" si="47"/>
        <v>47992.948532601353</v>
      </c>
      <c r="F754" s="14">
        <f t="shared" si="44"/>
        <v>69589.775373201701</v>
      </c>
      <c r="H754" s="14" cm="1">
        <f t="array" ref="H754:K754">MMULT($C753:$F753,P_Matrix)</f>
        <v>989991.68630822387</v>
      </c>
      <c r="I754" s="14">
        <v>860136.47965801856</v>
      </c>
      <c r="J754" s="14">
        <v>47992.948532601353</v>
      </c>
      <c r="K754" s="14">
        <v>139179.55074556827</v>
      </c>
      <c r="M754" s="12">
        <f>MAX((Inputs!F$25*POWER(1+(Inputs!$C$3-(Inputs!$C$3*(('Steady State'!$A754-1)/Inputs!$C$4))),'Steady State'!$A754-1)),M753)</f>
        <v>48712.842776949758</v>
      </c>
      <c r="N754" s="12">
        <f>MAX((Inputs!G$25*POWER(1+(Inputs!$C$3-(Inputs!$C$3*(('Steady State'!$A754-1)/Inputs!$C$4))),'Steady State'!$A754-1)),N753)</f>
        <v>20876.932618692754</v>
      </c>
      <c r="O754" s="12">
        <v>0</v>
      </c>
      <c r="P754" s="12">
        <v>0</v>
      </c>
    </row>
    <row r="755" spans="1:16" x14ac:dyDescent="0.35">
      <c r="A755">
        <v>753</v>
      </c>
      <c r="C755" s="14">
        <f t="shared" si="45"/>
        <v>1038704.5290930402</v>
      </c>
      <c r="D755" s="14">
        <f t="shared" si="46"/>
        <v>881013.41228990199</v>
      </c>
      <c r="E755" s="14">
        <f t="shared" si="47"/>
        <v>47992.94853317966</v>
      </c>
      <c r="F755" s="14">
        <f t="shared" si="44"/>
        <v>69589.775374006887</v>
      </c>
      <c r="H755" s="14" cm="1">
        <f t="array" ref="H755:K755">MMULT($C754:$F754,P_Matrix)</f>
        <v>989991.6863160904</v>
      </c>
      <c r="I755" s="14">
        <v>860136.47967120924</v>
      </c>
      <c r="J755" s="14">
        <v>47992.94853317966</v>
      </c>
      <c r="K755" s="14">
        <v>139179.55074720859</v>
      </c>
      <c r="M755" s="12">
        <f>MAX((Inputs!F$25*POWER(1+(Inputs!$C$3-(Inputs!$C$3*(('Steady State'!$A755-1)/Inputs!$C$4))),'Steady State'!$A755-1)),M754)</f>
        <v>48712.842776949758</v>
      </c>
      <c r="N755" s="12">
        <f>MAX((Inputs!G$25*POWER(1+(Inputs!$C$3-(Inputs!$C$3*(('Steady State'!$A755-1)/Inputs!$C$4))),'Steady State'!$A755-1)),N754)</f>
        <v>20876.932618692754</v>
      </c>
      <c r="O755" s="12">
        <v>0</v>
      </c>
      <c r="P755" s="12">
        <v>0</v>
      </c>
    </row>
    <row r="756" spans="1:16" x14ac:dyDescent="0.35">
      <c r="A756">
        <v>754</v>
      </c>
      <c r="C756" s="14">
        <f t="shared" si="45"/>
        <v>1038704.5291006245</v>
      </c>
      <c r="D756" s="14">
        <f t="shared" si="46"/>
        <v>881013.41230261943</v>
      </c>
      <c r="E756" s="14">
        <f t="shared" si="47"/>
        <v>47992.948533737217</v>
      </c>
      <c r="F756" s="14">
        <f t="shared" si="44"/>
        <v>69589.775374783174</v>
      </c>
      <c r="H756" s="14" cm="1">
        <f t="array" ref="H756:K756">MMULT($C755:$F755,P_Matrix)</f>
        <v>989991.68632367474</v>
      </c>
      <c r="I756" s="14">
        <v>860136.47968392668</v>
      </c>
      <c r="J756" s="14">
        <v>47992.948533737217</v>
      </c>
      <c r="K756" s="14">
        <v>139179.55074879006</v>
      </c>
      <c r="M756" s="12">
        <f>MAX((Inputs!F$25*POWER(1+(Inputs!$C$3-(Inputs!$C$3*(('Steady State'!$A756-1)/Inputs!$C$4))),'Steady State'!$A756-1)),M755)</f>
        <v>48712.842776949758</v>
      </c>
      <c r="N756" s="12">
        <f>MAX((Inputs!G$25*POWER(1+(Inputs!$C$3-(Inputs!$C$3*(('Steady State'!$A756-1)/Inputs!$C$4))),'Steady State'!$A756-1)),N755)</f>
        <v>20876.932618692754</v>
      </c>
      <c r="O756" s="12">
        <v>0</v>
      </c>
      <c r="P756" s="12">
        <v>0</v>
      </c>
    </row>
    <row r="757" spans="1:16" x14ac:dyDescent="0.35">
      <c r="A757">
        <v>755</v>
      </c>
      <c r="C757" s="14">
        <f t="shared" si="45"/>
        <v>1038704.5291079367</v>
      </c>
      <c r="D757" s="14">
        <f t="shared" si="46"/>
        <v>881013.41231488052</v>
      </c>
      <c r="E757" s="14">
        <f t="shared" si="47"/>
        <v>47992.948534274772</v>
      </c>
      <c r="F757" s="14">
        <f t="shared" si="44"/>
        <v>69589.775375531608</v>
      </c>
      <c r="H757" s="14" cm="1">
        <f t="array" ref="H757:K757">MMULT($C756:$F756,P_Matrix)</f>
        <v>989991.68633098691</v>
      </c>
      <c r="I757" s="14">
        <v>860136.47969618777</v>
      </c>
      <c r="J757" s="14">
        <v>47992.948534274772</v>
      </c>
      <c r="K757" s="14">
        <v>139179.55075031478</v>
      </c>
      <c r="M757" s="12">
        <f>MAX((Inputs!F$25*POWER(1+(Inputs!$C$3-(Inputs!$C$3*(('Steady State'!$A757-1)/Inputs!$C$4))),'Steady State'!$A757-1)),M756)</f>
        <v>48712.842776949758</v>
      </c>
      <c r="N757" s="12">
        <f>MAX((Inputs!G$25*POWER(1+(Inputs!$C$3-(Inputs!$C$3*(('Steady State'!$A757-1)/Inputs!$C$4))),'Steady State'!$A757-1)),N756)</f>
        <v>20876.932618692754</v>
      </c>
      <c r="O757" s="12">
        <v>0</v>
      </c>
      <c r="P757" s="12">
        <v>0</v>
      </c>
    </row>
    <row r="758" spans="1:16" x14ac:dyDescent="0.35">
      <c r="A758">
        <v>756</v>
      </c>
      <c r="C758" s="14">
        <f t="shared" si="45"/>
        <v>1038704.5291149864</v>
      </c>
      <c r="D758" s="14">
        <f t="shared" si="46"/>
        <v>881013.41232670168</v>
      </c>
      <c r="E758" s="14">
        <f t="shared" si="47"/>
        <v>47992.948534793031</v>
      </c>
      <c r="F758" s="14">
        <f t="shared" si="44"/>
        <v>69589.775376253208</v>
      </c>
      <c r="H758" s="14" cm="1">
        <f t="array" ref="H758:K758">MMULT($C757:$F757,P_Matrix)</f>
        <v>989991.68633803667</v>
      </c>
      <c r="I758" s="14">
        <v>860136.47970800893</v>
      </c>
      <c r="J758" s="14">
        <v>47992.948534793031</v>
      </c>
      <c r="K758" s="14">
        <v>139179.55075178482</v>
      </c>
      <c r="M758" s="12">
        <f>MAX((Inputs!F$25*POWER(1+(Inputs!$C$3-(Inputs!$C$3*(('Steady State'!$A758-1)/Inputs!$C$4))),'Steady State'!$A758-1)),M757)</f>
        <v>48712.842776949758</v>
      </c>
      <c r="N758" s="12">
        <f>MAX((Inputs!G$25*POWER(1+(Inputs!$C$3-(Inputs!$C$3*(('Steady State'!$A758-1)/Inputs!$C$4))),'Steady State'!$A758-1)),N757)</f>
        <v>20876.932618692754</v>
      </c>
      <c r="O758" s="12">
        <v>0</v>
      </c>
      <c r="P758" s="12">
        <v>0</v>
      </c>
    </row>
    <row r="759" spans="1:16" x14ac:dyDescent="0.35">
      <c r="A759">
        <v>757</v>
      </c>
      <c r="C759" s="14">
        <f t="shared" si="45"/>
        <v>1038704.5291217832</v>
      </c>
      <c r="D759" s="14">
        <f t="shared" si="46"/>
        <v>881013.41233809874</v>
      </c>
      <c r="E759" s="14">
        <f t="shared" si="47"/>
        <v>47992.9485352927</v>
      </c>
      <c r="F759" s="14">
        <f t="shared" si="44"/>
        <v>69589.775376948906</v>
      </c>
      <c r="H759" s="14" cm="1">
        <f t="array" ref="H759:K759">MMULT($C758:$F758,P_Matrix)</f>
        <v>989991.68634483346</v>
      </c>
      <c r="I759" s="14">
        <v>860136.47971940599</v>
      </c>
      <c r="J759" s="14">
        <v>47992.9485352927</v>
      </c>
      <c r="K759" s="14">
        <v>139179.55075320211</v>
      </c>
      <c r="M759" s="12">
        <f>MAX((Inputs!F$25*POWER(1+(Inputs!$C$3-(Inputs!$C$3*(('Steady State'!$A759-1)/Inputs!$C$4))),'Steady State'!$A759-1)),M758)</f>
        <v>48712.842776949758</v>
      </c>
      <c r="N759" s="12">
        <f>MAX((Inputs!G$25*POWER(1+(Inputs!$C$3-(Inputs!$C$3*(('Steady State'!$A759-1)/Inputs!$C$4))),'Steady State'!$A759-1)),N758)</f>
        <v>20876.932618692754</v>
      </c>
      <c r="O759" s="12">
        <v>0</v>
      </c>
      <c r="P759" s="12">
        <v>0</v>
      </c>
    </row>
    <row r="760" spans="1:16" x14ac:dyDescent="0.35">
      <c r="A760">
        <v>758</v>
      </c>
      <c r="C760" s="14">
        <f t="shared" si="45"/>
        <v>1038704.5291283362</v>
      </c>
      <c r="D760" s="14">
        <f t="shared" si="46"/>
        <v>881013.41234908684</v>
      </c>
      <c r="E760" s="14">
        <f t="shared" si="47"/>
        <v>47992.948535774442</v>
      </c>
      <c r="F760" s="14">
        <f t="shared" si="44"/>
        <v>69589.775377619633</v>
      </c>
      <c r="H760" s="14" cm="1">
        <f t="array" ref="H760:K760">MMULT($C759:$F759,P_Matrix)</f>
        <v>989991.68635138648</v>
      </c>
      <c r="I760" s="14">
        <v>860136.47973039409</v>
      </c>
      <c r="J760" s="14">
        <v>47992.948535774442</v>
      </c>
      <c r="K760" s="14">
        <v>139179.55075456854</v>
      </c>
      <c r="M760" s="12">
        <f>MAX((Inputs!F$25*POWER(1+(Inputs!$C$3-(Inputs!$C$3*(('Steady State'!$A760-1)/Inputs!$C$4))),'Steady State'!$A760-1)),M759)</f>
        <v>48712.842776949758</v>
      </c>
      <c r="N760" s="12">
        <f>MAX((Inputs!G$25*POWER(1+(Inputs!$C$3-(Inputs!$C$3*(('Steady State'!$A760-1)/Inputs!$C$4))),'Steady State'!$A760-1)),N759)</f>
        <v>20876.932618692754</v>
      </c>
      <c r="O760" s="12">
        <v>0</v>
      </c>
      <c r="P760" s="12">
        <v>0</v>
      </c>
    </row>
    <row r="761" spans="1:16" x14ac:dyDescent="0.35">
      <c r="A761">
        <v>759</v>
      </c>
      <c r="C761" s="14">
        <f t="shared" si="45"/>
        <v>1038704.5291346541</v>
      </c>
      <c r="D761" s="14">
        <f t="shared" si="46"/>
        <v>881013.41235968063</v>
      </c>
      <c r="E761" s="14">
        <f t="shared" si="47"/>
        <v>47992.948536238895</v>
      </c>
      <c r="F761" s="14">
        <f t="shared" si="44"/>
        <v>69589.775378266291</v>
      </c>
      <c r="H761" s="14" cm="1">
        <f t="array" ref="H761:K761">MMULT($C760:$F760,P_Matrix)</f>
        <v>989991.68635770434</v>
      </c>
      <c r="I761" s="14">
        <v>860136.47974098788</v>
      </c>
      <c r="J761" s="14">
        <v>47992.948536238895</v>
      </c>
      <c r="K761" s="14">
        <v>139179.55075588592</v>
      </c>
      <c r="M761" s="12">
        <f>MAX((Inputs!F$25*POWER(1+(Inputs!$C$3-(Inputs!$C$3*(('Steady State'!$A761-1)/Inputs!$C$4))),'Steady State'!$A761-1)),M760)</f>
        <v>48712.842776949758</v>
      </c>
      <c r="N761" s="12">
        <f>MAX((Inputs!G$25*POWER(1+(Inputs!$C$3-(Inputs!$C$3*(('Steady State'!$A761-1)/Inputs!$C$4))),'Steady State'!$A761-1)),N760)</f>
        <v>20876.932618692754</v>
      </c>
      <c r="O761" s="12">
        <v>0</v>
      </c>
      <c r="P761" s="12">
        <v>0</v>
      </c>
    </row>
    <row r="762" spans="1:16" x14ac:dyDescent="0.35">
      <c r="A762">
        <v>760</v>
      </c>
      <c r="C762" s="14">
        <f t="shared" si="45"/>
        <v>1038704.5291407452</v>
      </c>
      <c r="D762" s="14">
        <f t="shared" si="46"/>
        <v>881013.41236989445</v>
      </c>
      <c r="E762" s="14">
        <f t="shared" si="47"/>
        <v>47992.948536686687</v>
      </c>
      <c r="F762" s="14">
        <f t="shared" si="44"/>
        <v>69589.775378889753</v>
      </c>
      <c r="H762" s="14" cm="1">
        <f t="array" ref="H762:K762">MMULT($C761:$F761,P_Matrix)</f>
        <v>989991.68636379542</v>
      </c>
      <c r="I762" s="14">
        <v>860136.4797512017</v>
      </c>
      <c r="J762" s="14">
        <v>47992.948536686687</v>
      </c>
      <c r="K762" s="14">
        <v>139179.55075715604</v>
      </c>
      <c r="M762" s="12">
        <f>MAX((Inputs!F$25*POWER(1+(Inputs!$C$3-(Inputs!$C$3*(('Steady State'!$A762-1)/Inputs!$C$4))),'Steady State'!$A762-1)),M761)</f>
        <v>48712.842776949758</v>
      </c>
      <c r="N762" s="12">
        <f>MAX((Inputs!G$25*POWER(1+(Inputs!$C$3-(Inputs!$C$3*(('Steady State'!$A762-1)/Inputs!$C$4))),'Steady State'!$A762-1)),N761)</f>
        <v>20876.932618692754</v>
      </c>
      <c r="O762" s="12">
        <v>0</v>
      </c>
      <c r="P762" s="12">
        <v>0</v>
      </c>
    </row>
    <row r="763" spans="1:16" x14ac:dyDescent="0.35">
      <c r="A763">
        <v>761</v>
      </c>
      <c r="C763" s="14">
        <f t="shared" si="45"/>
        <v>1038704.5291466177</v>
      </c>
      <c r="D763" s="14">
        <f t="shared" si="46"/>
        <v>881013.41237974167</v>
      </c>
      <c r="E763" s="14">
        <f t="shared" si="47"/>
        <v>47992.948537118406</v>
      </c>
      <c r="F763" s="14">
        <f t="shared" si="44"/>
        <v>69589.775379490864</v>
      </c>
      <c r="H763" s="14" cm="1">
        <f t="array" ref="H763:K763">MMULT($C762:$F762,P_Matrix)</f>
        <v>989991.68636966799</v>
      </c>
      <c r="I763" s="14">
        <v>860136.47976104892</v>
      </c>
      <c r="J763" s="14">
        <v>47992.948537118406</v>
      </c>
      <c r="K763" s="14">
        <v>139179.55075838062</v>
      </c>
      <c r="M763" s="12">
        <f>MAX((Inputs!F$25*POWER(1+(Inputs!$C$3-(Inputs!$C$3*(('Steady State'!$A763-1)/Inputs!$C$4))),'Steady State'!$A763-1)),M762)</f>
        <v>48712.842776949758</v>
      </c>
      <c r="N763" s="12">
        <f>MAX((Inputs!G$25*POWER(1+(Inputs!$C$3-(Inputs!$C$3*(('Steady State'!$A763-1)/Inputs!$C$4))),'Steady State'!$A763-1)),N762)</f>
        <v>20876.932618692754</v>
      </c>
      <c r="O763" s="12">
        <v>0</v>
      </c>
      <c r="P763" s="12">
        <v>0</v>
      </c>
    </row>
    <row r="764" spans="1:16" x14ac:dyDescent="0.35">
      <c r="A764">
        <v>762</v>
      </c>
      <c r="C764" s="14">
        <f t="shared" si="45"/>
        <v>1038704.5291522796</v>
      </c>
      <c r="D764" s="14">
        <f t="shared" si="46"/>
        <v>881013.41238923545</v>
      </c>
      <c r="E764" s="14">
        <f t="shared" si="47"/>
        <v>47992.948537534641</v>
      </c>
      <c r="F764" s="14">
        <f t="shared" si="44"/>
        <v>69589.775380070379</v>
      </c>
      <c r="H764" s="14" cm="1">
        <f t="array" ref="H764:K764">MMULT($C763:$F763,P_Matrix)</f>
        <v>989991.68637532985</v>
      </c>
      <c r="I764" s="14">
        <v>860136.4797705427</v>
      </c>
      <c r="J764" s="14">
        <v>47992.948537534641</v>
      </c>
      <c r="K764" s="14">
        <v>139179.55075956124</v>
      </c>
      <c r="M764" s="12">
        <f>MAX((Inputs!F$25*POWER(1+(Inputs!$C$3-(Inputs!$C$3*(('Steady State'!$A764-1)/Inputs!$C$4))),'Steady State'!$A764-1)),M763)</f>
        <v>48712.842776949758</v>
      </c>
      <c r="N764" s="12">
        <f>MAX((Inputs!G$25*POWER(1+(Inputs!$C$3-(Inputs!$C$3*(('Steady State'!$A764-1)/Inputs!$C$4))),'Steady State'!$A764-1)),N763)</f>
        <v>20876.932618692754</v>
      </c>
      <c r="O764" s="12">
        <v>0</v>
      </c>
      <c r="P764" s="12">
        <v>0</v>
      </c>
    </row>
    <row r="765" spans="1:16" x14ac:dyDescent="0.35">
      <c r="A765">
        <v>763</v>
      </c>
      <c r="C765" s="14">
        <f t="shared" si="45"/>
        <v>1038704.5291577383</v>
      </c>
      <c r="D765" s="14">
        <f t="shared" si="46"/>
        <v>881013.41239838873</v>
      </c>
      <c r="E765" s="14">
        <f t="shared" si="47"/>
        <v>47992.948537935939</v>
      </c>
      <c r="F765" s="14">
        <f t="shared" si="44"/>
        <v>69589.775380629115</v>
      </c>
      <c r="H765" s="14" cm="1">
        <f t="array" ref="H765:K765">MMULT($C764:$F764,P_Matrix)</f>
        <v>989991.68638078857</v>
      </c>
      <c r="I765" s="14">
        <v>860136.47977969598</v>
      </c>
      <c r="J765" s="14">
        <v>47992.948537935939</v>
      </c>
      <c r="K765" s="14">
        <v>139179.55076069949</v>
      </c>
      <c r="M765" s="12">
        <f>MAX((Inputs!F$25*POWER(1+(Inputs!$C$3-(Inputs!$C$3*(('Steady State'!$A765-1)/Inputs!$C$4))),'Steady State'!$A765-1)),M764)</f>
        <v>48712.842776949758</v>
      </c>
      <c r="N765" s="12">
        <f>MAX((Inputs!G$25*POWER(1+(Inputs!$C$3-(Inputs!$C$3*(('Steady State'!$A765-1)/Inputs!$C$4))),'Steady State'!$A765-1)),N764)</f>
        <v>20876.932618692754</v>
      </c>
      <c r="O765" s="12">
        <v>0</v>
      </c>
      <c r="P765" s="12">
        <v>0</v>
      </c>
    </row>
    <row r="766" spans="1:16" x14ac:dyDescent="0.35">
      <c r="A766">
        <v>764</v>
      </c>
      <c r="C766" s="14">
        <f t="shared" si="45"/>
        <v>1038704.5291630012</v>
      </c>
      <c r="D766" s="14">
        <f t="shared" si="46"/>
        <v>881013.41240721371</v>
      </c>
      <c r="E766" s="14">
        <f t="shared" si="47"/>
        <v>47992.948538322831</v>
      </c>
      <c r="F766" s="14">
        <f t="shared" si="44"/>
        <v>69589.775381167798</v>
      </c>
      <c r="H766" s="14" cm="1">
        <f t="array" ref="H766:K766">MMULT($C765:$F765,P_Matrix)</f>
        <v>989991.68638605147</v>
      </c>
      <c r="I766" s="14">
        <v>860136.47978852096</v>
      </c>
      <c r="J766" s="14">
        <v>47992.948538322831</v>
      </c>
      <c r="K766" s="14">
        <v>139179.55076179691</v>
      </c>
      <c r="M766" s="12">
        <f>MAX((Inputs!F$25*POWER(1+(Inputs!$C$3-(Inputs!$C$3*(('Steady State'!$A766-1)/Inputs!$C$4))),'Steady State'!$A766-1)),M765)</f>
        <v>48712.842776949758</v>
      </c>
      <c r="N766" s="12">
        <f>MAX((Inputs!G$25*POWER(1+(Inputs!$C$3-(Inputs!$C$3*(('Steady State'!$A766-1)/Inputs!$C$4))),'Steady State'!$A766-1)),N765)</f>
        <v>20876.932618692754</v>
      </c>
      <c r="O766" s="12">
        <v>0</v>
      </c>
      <c r="P766" s="12">
        <v>0</v>
      </c>
    </row>
    <row r="767" spans="1:16" x14ac:dyDescent="0.35">
      <c r="A767">
        <v>765</v>
      </c>
      <c r="C767" s="14">
        <f t="shared" si="45"/>
        <v>1038704.5291680753</v>
      </c>
      <c r="D767" s="14">
        <f t="shared" si="46"/>
        <v>881013.41241572192</v>
      </c>
      <c r="E767" s="14">
        <f t="shared" si="47"/>
        <v>47992.948538695848</v>
      </c>
      <c r="F767" s="14">
        <f t="shared" si="44"/>
        <v>69589.775381687155</v>
      </c>
      <c r="H767" s="14" cm="1">
        <f t="array" ref="H767:K767">MMULT($C766:$F766,P_Matrix)</f>
        <v>989991.68639112555</v>
      </c>
      <c r="I767" s="14">
        <v>860136.47979702917</v>
      </c>
      <c r="J767" s="14">
        <v>47992.948538695848</v>
      </c>
      <c r="K767" s="14">
        <v>139179.55076285495</v>
      </c>
      <c r="M767" s="12">
        <f>MAX((Inputs!F$25*POWER(1+(Inputs!$C$3-(Inputs!$C$3*(('Steady State'!$A767-1)/Inputs!$C$4))),'Steady State'!$A767-1)),M766)</f>
        <v>48712.842776949758</v>
      </c>
      <c r="N767" s="12">
        <f>MAX((Inputs!G$25*POWER(1+(Inputs!$C$3-(Inputs!$C$3*(('Steady State'!$A767-1)/Inputs!$C$4))),'Steady State'!$A767-1)),N766)</f>
        <v>20876.932618692754</v>
      </c>
      <c r="O767" s="12">
        <v>0</v>
      </c>
      <c r="P767" s="12">
        <v>0</v>
      </c>
    </row>
    <row r="768" spans="1:16" x14ac:dyDescent="0.35">
      <c r="A768">
        <v>766</v>
      </c>
      <c r="C768" s="14">
        <f t="shared" si="45"/>
        <v>1038704.5291729673</v>
      </c>
      <c r="D768" s="14">
        <f t="shared" si="46"/>
        <v>881013.41242392478</v>
      </c>
      <c r="E768" s="14">
        <f t="shared" si="47"/>
        <v>47992.948539055476</v>
      </c>
      <c r="F768" s="14">
        <f t="shared" si="44"/>
        <v>69589.775382187887</v>
      </c>
      <c r="H768" s="14" cm="1">
        <f t="array" ref="H768:K768">MMULT($C767:$F767,P_Matrix)</f>
        <v>989991.68639601755</v>
      </c>
      <c r="I768" s="14">
        <v>860136.47980523203</v>
      </c>
      <c r="J768" s="14">
        <v>47992.948539055476</v>
      </c>
      <c r="K768" s="14">
        <v>139179.55076387504</v>
      </c>
      <c r="M768" s="12">
        <f>MAX((Inputs!F$25*POWER(1+(Inputs!$C$3-(Inputs!$C$3*(('Steady State'!$A768-1)/Inputs!$C$4))),'Steady State'!$A768-1)),M767)</f>
        <v>48712.842776949758</v>
      </c>
      <c r="N768" s="12">
        <f>MAX((Inputs!G$25*POWER(1+(Inputs!$C$3-(Inputs!$C$3*(('Steady State'!$A768-1)/Inputs!$C$4))),'Steady State'!$A768-1)),N767)</f>
        <v>20876.932618692754</v>
      </c>
      <c r="O768" s="12">
        <v>0</v>
      </c>
      <c r="P768" s="12">
        <v>0</v>
      </c>
    </row>
    <row r="769" spans="1:16" x14ac:dyDescent="0.35">
      <c r="A769">
        <v>767</v>
      </c>
      <c r="C769" s="14">
        <f t="shared" si="45"/>
        <v>1038704.5291776838</v>
      </c>
      <c r="D769" s="14">
        <f t="shared" si="46"/>
        <v>881013.41243183333</v>
      </c>
      <c r="E769" s="14">
        <f t="shared" si="47"/>
        <v>47992.948539402205</v>
      </c>
      <c r="F769" s="14">
        <f t="shared" si="44"/>
        <v>69589.775382670632</v>
      </c>
      <c r="H769" s="14" cm="1">
        <f t="array" ref="H769:K769">MMULT($C768:$F768,P_Matrix)</f>
        <v>989991.686400734</v>
      </c>
      <c r="I769" s="14">
        <v>860136.47981314058</v>
      </c>
      <c r="J769" s="14">
        <v>47992.948539402205</v>
      </c>
      <c r="K769" s="14">
        <v>139179.55076485852</v>
      </c>
      <c r="M769" s="12">
        <f>MAX((Inputs!F$25*POWER(1+(Inputs!$C$3-(Inputs!$C$3*(('Steady State'!$A769-1)/Inputs!$C$4))),'Steady State'!$A769-1)),M768)</f>
        <v>48712.842776949758</v>
      </c>
      <c r="N769" s="12">
        <f>MAX((Inputs!G$25*POWER(1+(Inputs!$C$3-(Inputs!$C$3*(('Steady State'!$A769-1)/Inputs!$C$4))),'Steady State'!$A769-1)),N768)</f>
        <v>20876.932618692754</v>
      </c>
      <c r="O769" s="12">
        <v>0</v>
      </c>
      <c r="P769" s="12">
        <v>0</v>
      </c>
    </row>
    <row r="770" spans="1:16" x14ac:dyDescent="0.35">
      <c r="A770">
        <v>768</v>
      </c>
      <c r="C770" s="14">
        <f t="shared" si="45"/>
        <v>1038704.5291822311</v>
      </c>
      <c r="D770" s="14">
        <f t="shared" si="46"/>
        <v>881013.41243945807</v>
      </c>
      <c r="E770" s="14">
        <f t="shared" si="47"/>
        <v>47992.948539736492</v>
      </c>
      <c r="F770" s="14">
        <f t="shared" si="44"/>
        <v>69589.775383136061</v>
      </c>
      <c r="H770" s="14" cm="1">
        <f t="array" ref="H770:K770">MMULT($C769:$F769,P_Matrix)</f>
        <v>989991.6864052813</v>
      </c>
      <c r="I770" s="14">
        <v>860136.47982076532</v>
      </c>
      <c r="J770" s="14">
        <v>47992.948539736492</v>
      </c>
      <c r="K770" s="14">
        <v>139179.55076580669</v>
      </c>
      <c r="M770" s="12">
        <f>MAX((Inputs!F$25*POWER(1+(Inputs!$C$3-(Inputs!$C$3*(('Steady State'!$A770-1)/Inputs!$C$4))),'Steady State'!$A770-1)),M769)</f>
        <v>48712.842776949758</v>
      </c>
      <c r="N770" s="12">
        <f>MAX((Inputs!G$25*POWER(1+(Inputs!$C$3-(Inputs!$C$3*(('Steady State'!$A770-1)/Inputs!$C$4))),'Steady State'!$A770-1)),N769)</f>
        <v>20876.932618692754</v>
      </c>
      <c r="O770" s="12">
        <v>0</v>
      </c>
      <c r="P770" s="12">
        <v>0</v>
      </c>
    </row>
    <row r="771" spans="1:16" x14ac:dyDescent="0.35">
      <c r="A771">
        <v>769</v>
      </c>
      <c r="C771" s="14">
        <f t="shared" si="45"/>
        <v>1038704.5291866151</v>
      </c>
      <c r="D771" s="14">
        <f t="shared" si="46"/>
        <v>881013.41244680923</v>
      </c>
      <c r="E771" s="14">
        <f t="shared" si="47"/>
        <v>47992.948540058787</v>
      </c>
      <c r="F771" s="14">
        <f t="shared" ref="F771:F834" si="48">(K771+P771)-F770</f>
        <v>69589.775383584783</v>
      </c>
      <c r="H771" s="14" cm="1">
        <f t="array" ref="H771:K771">MMULT($C770:$F770,P_Matrix)</f>
        <v>989991.68640966539</v>
      </c>
      <c r="I771" s="14">
        <v>860136.47982811648</v>
      </c>
      <c r="J771" s="14">
        <v>47992.948540058787</v>
      </c>
      <c r="K771" s="14">
        <v>139179.55076672084</v>
      </c>
      <c r="M771" s="12">
        <f>MAX((Inputs!F$25*POWER(1+(Inputs!$C$3-(Inputs!$C$3*(('Steady State'!$A771-1)/Inputs!$C$4))),'Steady State'!$A771-1)),M770)</f>
        <v>48712.842776949758</v>
      </c>
      <c r="N771" s="12">
        <f>MAX((Inputs!G$25*POWER(1+(Inputs!$C$3-(Inputs!$C$3*(('Steady State'!$A771-1)/Inputs!$C$4))),'Steady State'!$A771-1)),N770)</f>
        <v>20876.932618692754</v>
      </c>
      <c r="O771" s="12">
        <v>0</v>
      </c>
      <c r="P771" s="12">
        <v>0</v>
      </c>
    </row>
    <row r="772" spans="1:16" x14ac:dyDescent="0.35">
      <c r="A772">
        <v>770</v>
      </c>
      <c r="C772" s="14">
        <f t="shared" ref="C772:C835" si="49">H772+M772</f>
        <v>1038704.5291908419</v>
      </c>
      <c r="D772" s="14">
        <f t="shared" ref="D772:D835" si="50">I772+N772</f>
        <v>881013.41245389672</v>
      </c>
      <c r="E772" s="14">
        <f t="shared" ref="E772:E835" si="51">J772+O772</f>
        <v>47992.948540369514</v>
      </c>
      <c r="F772" s="14">
        <f t="shared" si="48"/>
        <v>69589.775384017441</v>
      </c>
      <c r="H772" s="14" cm="1">
        <f t="array" ref="H772:K772">MMULT($C771:$F771,P_Matrix)</f>
        <v>989991.6864138922</v>
      </c>
      <c r="I772" s="14">
        <v>860136.47983520397</v>
      </c>
      <c r="J772" s="14">
        <v>47992.948540369514</v>
      </c>
      <c r="K772" s="14">
        <v>139179.55076760222</v>
      </c>
      <c r="M772" s="12">
        <f>MAX((Inputs!F$25*POWER(1+(Inputs!$C$3-(Inputs!$C$3*(('Steady State'!$A772-1)/Inputs!$C$4))),'Steady State'!$A772-1)),M771)</f>
        <v>48712.842776949758</v>
      </c>
      <c r="N772" s="12">
        <f>MAX((Inputs!G$25*POWER(1+(Inputs!$C$3-(Inputs!$C$3*(('Steady State'!$A772-1)/Inputs!$C$4))),'Steady State'!$A772-1)),N771)</f>
        <v>20876.932618692754</v>
      </c>
      <c r="O772" s="12">
        <v>0</v>
      </c>
      <c r="P772" s="12">
        <v>0</v>
      </c>
    </row>
    <row r="773" spans="1:16" x14ac:dyDescent="0.35">
      <c r="A773">
        <v>771</v>
      </c>
      <c r="C773" s="14">
        <f t="shared" si="49"/>
        <v>1038704.5291949171</v>
      </c>
      <c r="D773" s="14">
        <f t="shared" si="50"/>
        <v>881013.41246072995</v>
      </c>
      <c r="E773" s="14">
        <f t="shared" si="51"/>
        <v>47992.948540669095</v>
      </c>
      <c r="F773" s="14">
        <f t="shared" si="48"/>
        <v>69589.775384434528</v>
      </c>
      <c r="H773" s="14" cm="1">
        <f t="array" ref="H773:K773">MMULT($C772:$F772,P_Matrix)</f>
        <v>989991.68641796731</v>
      </c>
      <c r="I773" s="14">
        <v>860136.4798420372</v>
      </c>
      <c r="J773" s="14">
        <v>47992.948540669095</v>
      </c>
      <c r="K773" s="14">
        <v>139179.55076845197</v>
      </c>
      <c r="M773" s="12">
        <f>MAX((Inputs!F$25*POWER(1+(Inputs!$C$3-(Inputs!$C$3*(('Steady State'!$A773-1)/Inputs!$C$4))),'Steady State'!$A773-1)),M772)</f>
        <v>48712.842776949758</v>
      </c>
      <c r="N773" s="12">
        <f>MAX((Inputs!G$25*POWER(1+(Inputs!$C$3-(Inputs!$C$3*(('Steady State'!$A773-1)/Inputs!$C$4))),'Steady State'!$A773-1)),N772)</f>
        <v>20876.932618692754</v>
      </c>
      <c r="O773" s="12">
        <v>0</v>
      </c>
      <c r="P773" s="12">
        <v>0</v>
      </c>
    </row>
    <row r="774" spans="1:16" x14ac:dyDescent="0.35">
      <c r="A774">
        <v>772</v>
      </c>
      <c r="C774" s="14">
        <f t="shared" si="49"/>
        <v>1038704.529198846</v>
      </c>
      <c r="D774" s="14">
        <f t="shared" si="50"/>
        <v>881013.41246731789</v>
      </c>
      <c r="E774" s="14">
        <f t="shared" si="51"/>
        <v>47992.948540957928</v>
      </c>
      <c r="F774" s="14">
        <f t="shared" si="48"/>
        <v>69589.775384836685</v>
      </c>
      <c r="H774" s="14" cm="1">
        <f t="array" ref="H774:K774">MMULT($C773:$F773,P_Matrix)</f>
        <v>989991.68642189621</v>
      </c>
      <c r="I774" s="14">
        <v>860136.47984862514</v>
      </c>
      <c r="J774" s="14">
        <v>47992.948540957928</v>
      </c>
      <c r="K774" s="14">
        <v>139179.55076927121</v>
      </c>
      <c r="M774" s="12">
        <f>MAX((Inputs!F$25*POWER(1+(Inputs!$C$3-(Inputs!$C$3*(('Steady State'!$A774-1)/Inputs!$C$4))),'Steady State'!$A774-1)),M773)</f>
        <v>48712.842776949758</v>
      </c>
      <c r="N774" s="12">
        <f>MAX((Inputs!G$25*POWER(1+(Inputs!$C$3-(Inputs!$C$3*(('Steady State'!$A774-1)/Inputs!$C$4))),'Steady State'!$A774-1)),N773)</f>
        <v>20876.932618692754</v>
      </c>
      <c r="O774" s="12">
        <v>0</v>
      </c>
      <c r="P774" s="12">
        <v>0</v>
      </c>
    </row>
    <row r="775" spans="1:16" x14ac:dyDescent="0.35">
      <c r="A775">
        <v>773</v>
      </c>
      <c r="C775" s="14">
        <f t="shared" si="49"/>
        <v>1038704.5292026339</v>
      </c>
      <c r="D775" s="14">
        <f t="shared" si="50"/>
        <v>881013.41247366962</v>
      </c>
      <c r="E775" s="14">
        <f t="shared" si="51"/>
        <v>47992.948541236394</v>
      </c>
      <c r="F775" s="14">
        <f t="shared" si="48"/>
        <v>69589.775385224406</v>
      </c>
      <c r="H775" s="14" cm="1">
        <f t="array" ref="H775:K775">MMULT($C774:$F774,P_Matrix)</f>
        <v>989991.68642568414</v>
      </c>
      <c r="I775" s="14">
        <v>860136.47985497687</v>
      </c>
      <c r="J775" s="14">
        <v>47992.948541236394</v>
      </c>
      <c r="K775" s="14">
        <v>139179.55077006109</v>
      </c>
      <c r="M775" s="12">
        <f>MAX((Inputs!F$25*POWER(1+(Inputs!$C$3-(Inputs!$C$3*(('Steady State'!$A775-1)/Inputs!$C$4))),'Steady State'!$A775-1)),M774)</f>
        <v>48712.842776949758</v>
      </c>
      <c r="N775" s="12">
        <f>MAX((Inputs!G$25*POWER(1+(Inputs!$C$3-(Inputs!$C$3*(('Steady State'!$A775-1)/Inputs!$C$4))),'Steady State'!$A775-1)),N774)</f>
        <v>20876.932618692754</v>
      </c>
      <c r="O775" s="12">
        <v>0</v>
      </c>
      <c r="P775" s="12">
        <v>0</v>
      </c>
    </row>
    <row r="776" spans="1:16" x14ac:dyDescent="0.35">
      <c r="A776">
        <v>774</v>
      </c>
      <c r="C776" s="14">
        <f t="shared" si="49"/>
        <v>1038704.5292062858</v>
      </c>
      <c r="D776" s="14">
        <f t="shared" si="50"/>
        <v>881013.41247979342</v>
      </c>
      <c r="E776" s="14">
        <f t="shared" si="51"/>
        <v>47992.948541504869</v>
      </c>
      <c r="F776" s="14">
        <f t="shared" si="48"/>
        <v>69589.775385598216</v>
      </c>
      <c r="H776" s="14" cm="1">
        <f t="array" ref="H776:K776">MMULT($C775:$F775,P_Matrix)</f>
        <v>989991.68642933608</v>
      </c>
      <c r="I776" s="14">
        <v>860136.47986110067</v>
      </c>
      <c r="J776" s="14">
        <v>47992.948541504869</v>
      </c>
      <c r="K776" s="14">
        <v>139179.55077082262</v>
      </c>
      <c r="M776" s="12">
        <f>MAX((Inputs!F$25*POWER(1+(Inputs!$C$3-(Inputs!$C$3*(('Steady State'!$A776-1)/Inputs!$C$4))),'Steady State'!$A776-1)),M775)</f>
        <v>48712.842776949758</v>
      </c>
      <c r="N776" s="12">
        <f>MAX((Inputs!G$25*POWER(1+(Inputs!$C$3-(Inputs!$C$3*(('Steady State'!$A776-1)/Inputs!$C$4))),'Steady State'!$A776-1)),N775)</f>
        <v>20876.932618692754</v>
      </c>
      <c r="O776" s="12">
        <v>0</v>
      </c>
      <c r="P776" s="12">
        <v>0</v>
      </c>
    </row>
    <row r="777" spans="1:16" x14ac:dyDescent="0.35">
      <c r="A777">
        <v>775</v>
      </c>
      <c r="C777" s="14">
        <f t="shared" si="49"/>
        <v>1038704.5292098068</v>
      </c>
      <c r="D777" s="14">
        <f t="shared" si="50"/>
        <v>881013.41248569742</v>
      </c>
      <c r="E777" s="14">
        <f t="shared" si="51"/>
        <v>47992.948541763712</v>
      </c>
      <c r="F777" s="14">
        <f t="shared" si="48"/>
        <v>69589.775385958579</v>
      </c>
      <c r="H777" s="14" cm="1">
        <f t="array" ref="H777:K777">MMULT($C776:$F776,P_Matrix)</f>
        <v>989991.68643285707</v>
      </c>
      <c r="I777" s="14">
        <v>860136.47986700467</v>
      </c>
      <c r="J777" s="14">
        <v>47992.948541763712</v>
      </c>
      <c r="K777" s="14">
        <v>139179.55077155679</v>
      </c>
      <c r="M777" s="12">
        <f>MAX((Inputs!F$25*POWER(1+(Inputs!$C$3-(Inputs!$C$3*(('Steady State'!$A777-1)/Inputs!$C$4))),'Steady State'!$A777-1)),M776)</f>
        <v>48712.842776949758</v>
      </c>
      <c r="N777" s="12">
        <f>MAX((Inputs!G$25*POWER(1+(Inputs!$C$3-(Inputs!$C$3*(('Steady State'!$A777-1)/Inputs!$C$4))),'Steady State'!$A777-1)),N776)</f>
        <v>20876.932618692754</v>
      </c>
      <c r="O777" s="12">
        <v>0</v>
      </c>
      <c r="P777" s="12">
        <v>0</v>
      </c>
    </row>
    <row r="778" spans="1:16" x14ac:dyDescent="0.35">
      <c r="A778">
        <v>776</v>
      </c>
      <c r="C778" s="14">
        <f t="shared" si="49"/>
        <v>1038704.5292132015</v>
      </c>
      <c r="D778" s="14">
        <f t="shared" si="50"/>
        <v>881013.41249138967</v>
      </c>
      <c r="E778" s="14">
        <f t="shared" si="51"/>
        <v>47992.94854201327</v>
      </c>
      <c r="F778" s="14">
        <f t="shared" si="48"/>
        <v>69589.77538630605</v>
      </c>
      <c r="H778" s="14" cm="1">
        <f t="array" ref="H778:K778">MMULT($C777:$F777,P_Matrix)</f>
        <v>989991.68643625174</v>
      </c>
      <c r="I778" s="14">
        <v>860136.47987269692</v>
      </c>
      <c r="J778" s="14">
        <v>47992.94854201327</v>
      </c>
      <c r="K778" s="14">
        <v>139179.55077226463</v>
      </c>
      <c r="M778" s="12">
        <f>MAX((Inputs!F$25*POWER(1+(Inputs!$C$3-(Inputs!$C$3*(('Steady State'!$A778-1)/Inputs!$C$4))),'Steady State'!$A778-1)),M777)</f>
        <v>48712.842776949758</v>
      </c>
      <c r="N778" s="12">
        <f>MAX((Inputs!G$25*POWER(1+(Inputs!$C$3-(Inputs!$C$3*(('Steady State'!$A778-1)/Inputs!$C$4))),'Steady State'!$A778-1)),N777)</f>
        <v>20876.932618692754</v>
      </c>
      <c r="O778" s="12">
        <v>0</v>
      </c>
      <c r="P778" s="12">
        <v>0</v>
      </c>
    </row>
    <row r="779" spans="1:16" x14ac:dyDescent="0.35">
      <c r="A779">
        <v>777</v>
      </c>
      <c r="C779" s="14">
        <f t="shared" si="49"/>
        <v>1038704.5292164744</v>
      </c>
      <c r="D779" s="14">
        <f t="shared" si="50"/>
        <v>881013.4124968776</v>
      </c>
      <c r="E779" s="14">
        <f t="shared" si="51"/>
        <v>47992.948542253871</v>
      </c>
      <c r="F779" s="14">
        <f t="shared" si="48"/>
        <v>69589.775386641064</v>
      </c>
      <c r="H779" s="14" cm="1">
        <f t="array" ref="H779:K779">MMULT($C778:$F778,P_Matrix)</f>
        <v>989991.68643952464</v>
      </c>
      <c r="I779" s="14">
        <v>860136.47987818485</v>
      </c>
      <c r="J779" s="14">
        <v>47992.948542253871</v>
      </c>
      <c r="K779" s="14">
        <v>139179.55077294711</v>
      </c>
      <c r="M779" s="12">
        <f>MAX((Inputs!F$25*POWER(1+(Inputs!$C$3-(Inputs!$C$3*(('Steady State'!$A779-1)/Inputs!$C$4))),'Steady State'!$A779-1)),M778)</f>
        <v>48712.842776949758</v>
      </c>
      <c r="N779" s="12">
        <f>MAX((Inputs!G$25*POWER(1+(Inputs!$C$3-(Inputs!$C$3*(('Steady State'!$A779-1)/Inputs!$C$4))),'Steady State'!$A779-1)),N778)</f>
        <v>20876.932618692754</v>
      </c>
      <c r="O779" s="12">
        <v>0</v>
      </c>
      <c r="P779" s="12">
        <v>0</v>
      </c>
    </row>
    <row r="780" spans="1:16" x14ac:dyDescent="0.35">
      <c r="A780">
        <v>778</v>
      </c>
      <c r="C780" s="14">
        <f t="shared" si="49"/>
        <v>1038704.5292196297</v>
      </c>
      <c r="D780" s="14">
        <f t="shared" si="50"/>
        <v>881013.41250216856</v>
      </c>
      <c r="E780" s="14">
        <f t="shared" si="51"/>
        <v>47992.948542485843</v>
      </c>
      <c r="F780" s="14">
        <f t="shared" si="48"/>
        <v>69589.775386964029</v>
      </c>
      <c r="H780" s="14" cm="1">
        <f t="array" ref="H780:K780">MMULT($C779:$F779,P_Matrix)</f>
        <v>989991.68644267996</v>
      </c>
      <c r="I780" s="14">
        <v>860136.47988347581</v>
      </c>
      <c r="J780" s="14">
        <v>47992.948542485843</v>
      </c>
      <c r="K780" s="14">
        <v>139179.55077360509</v>
      </c>
      <c r="M780" s="12">
        <f>MAX((Inputs!F$25*POWER(1+(Inputs!$C$3-(Inputs!$C$3*(('Steady State'!$A780-1)/Inputs!$C$4))),'Steady State'!$A780-1)),M779)</f>
        <v>48712.842776949758</v>
      </c>
      <c r="N780" s="12">
        <f>MAX((Inputs!G$25*POWER(1+(Inputs!$C$3-(Inputs!$C$3*(('Steady State'!$A780-1)/Inputs!$C$4))),'Steady State'!$A780-1)),N779)</f>
        <v>20876.932618692754</v>
      </c>
      <c r="O780" s="12">
        <v>0</v>
      </c>
      <c r="P780" s="12">
        <v>0</v>
      </c>
    </row>
    <row r="781" spans="1:16" x14ac:dyDescent="0.35">
      <c r="A781">
        <v>779</v>
      </c>
      <c r="C781" s="14">
        <f t="shared" si="49"/>
        <v>1038704.5292226719</v>
      </c>
      <c r="D781" s="14">
        <f t="shared" si="50"/>
        <v>881013.41250726976</v>
      </c>
      <c r="E781" s="14">
        <f t="shared" si="51"/>
        <v>47992.948542709491</v>
      </c>
      <c r="F781" s="14">
        <f t="shared" si="48"/>
        <v>69589.775387275411</v>
      </c>
      <c r="H781" s="14" cm="1">
        <f t="array" ref="H781:K781">MMULT($C780:$F780,P_Matrix)</f>
        <v>989991.68644572212</v>
      </c>
      <c r="I781" s="14">
        <v>860136.47988857701</v>
      </c>
      <c r="J781" s="14">
        <v>47992.948542709491</v>
      </c>
      <c r="K781" s="14">
        <v>139179.55077423944</v>
      </c>
      <c r="M781" s="12">
        <f>MAX((Inputs!F$25*POWER(1+(Inputs!$C$3-(Inputs!$C$3*(('Steady State'!$A781-1)/Inputs!$C$4))),'Steady State'!$A781-1)),M780)</f>
        <v>48712.842776949758</v>
      </c>
      <c r="N781" s="12">
        <f>MAX((Inputs!G$25*POWER(1+(Inputs!$C$3-(Inputs!$C$3*(('Steady State'!$A781-1)/Inputs!$C$4))),'Steady State'!$A781-1)),N780)</f>
        <v>20876.932618692754</v>
      </c>
      <c r="O781" s="12">
        <v>0</v>
      </c>
      <c r="P781" s="12">
        <v>0</v>
      </c>
    </row>
    <row r="782" spans="1:16" x14ac:dyDescent="0.35">
      <c r="A782">
        <v>780</v>
      </c>
      <c r="C782" s="14">
        <f t="shared" si="49"/>
        <v>1038704.529225605</v>
      </c>
      <c r="D782" s="14">
        <f t="shared" si="50"/>
        <v>881013.41251218796</v>
      </c>
      <c r="E782" s="14">
        <f t="shared" si="51"/>
        <v>47992.948542925114</v>
      </c>
      <c r="F782" s="14">
        <f t="shared" si="48"/>
        <v>69589.775387575617</v>
      </c>
      <c r="H782" s="14" cm="1">
        <f t="array" ref="H782:K782">MMULT($C781:$F781,P_Matrix)</f>
        <v>989991.68644865521</v>
      </c>
      <c r="I782" s="14">
        <v>860136.47989349521</v>
      </c>
      <c r="J782" s="14">
        <v>47992.948542925114</v>
      </c>
      <c r="K782" s="14">
        <v>139179.55077485103</v>
      </c>
      <c r="M782" s="12">
        <f>MAX((Inputs!F$25*POWER(1+(Inputs!$C$3-(Inputs!$C$3*(('Steady State'!$A782-1)/Inputs!$C$4))),'Steady State'!$A782-1)),M781)</f>
        <v>48712.842776949758</v>
      </c>
      <c r="N782" s="12">
        <f>MAX((Inputs!G$25*POWER(1+(Inputs!$C$3-(Inputs!$C$3*(('Steady State'!$A782-1)/Inputs!$C$4))),'Steady State'!$A782-1)),N781)</f>
        <v>20876.932618692754</v>
      </c>
      <c r="O782" s="12">
        <v>0</v>
      </c>
      <c r="P782" s="12">
        <v>0</v>
      </c>
    </row>
    <row r="783" spans="1:16" x14ac:dyDescent="0.35">
      <c r="A783">
        <v>781</v>
      </c>
      <c r="C783" s="14">
        <f t="shared" si="49"/>
        <v>1038704.5292284328</v>
      </c>
      <c r="D783" s="14">
        <f t="shared" si="50"/>
        <v>881013.41251692956</v>
      </c>
      <c r="E783" s="14">
        <f t="shared" si="51"/>
        <v>47992.948543132996</v>
      </c>
      <c r="F783" s="14">
        <f t="shared" si="48"/>
        <v>69589.775387865084</v>
      </c>
      <c r="H783" s="14" cm="1">
        <f t="array" ref="H783:K783">MMULT($C782:$F782,P_Matrix)</f>
        <v>989991.68645148305</v>
      </c>
      <c r="I783" s="14">
        <v>860136.47989823681</v>
      </c>
      <c r="J783" s="14">
        <v>47992.948543132996</v>
      </c>
      <c r="K783" s="14">
        <v>139179.5507754407</v>
      </c>
      <c r="M783" s="12">
        <f>MAX((Inputs!F$25*POWER(1+(Inputs!$C$3-(Inputs!$C$3*(('Steady State'!$A783-1)/Inputs!$C$4))),'Steady State'!$A783-1)),M782)</f>
        <v>48712.842776949758</v>
      </c>
      <c r="N783" s="12">
        <f>MAX((Inputs!G$25*POWER(1+(Inputs!$C$3-(Inputs!$C$3*(('Steady State'!$A783-1)/Inputs!$C$4))),'Steady State'!$A783-1)),N782)</f>
        <v>20876.932618692754</v>
      </c>
      <c r="O783" s="12">
        <v>0</v>
      </c>
      <c r="P783" s="12">
        <v>0</v>
      </c>
    </row>
    <row r="784" spans="1:16" x14ac:dyDescent="0.35">
      <c r="A784">
        <v>782</v>
      </c>
      <c r="C784" s="14">
        <f t="shared" si="49"/>
        <v>1038704.529231159</v>
      </c>
      <c r="D784" s="14">
        <f t="shared" si="50"/>
        <v>881013.41252150119</v>
      </c>
      <c r="E784" s="14">
        <f t="shared" si="51"/>
        <v>47992.948543333419</v>
      </c>
      <c r="F784" s="14">
        <f t="shared" si="48"/>
        <v>69589.775388144131</v>
      </c>
      <c r="H784" s="14" cm="1">
        <f t="array" ref="H784:K784">MMULT($C783:$F783,P_Matrix)</f>
        <v>989991.68645420927</v>
      </c>
      <c r="I784" s="14">
        <v>860136.47990280844</v>
      </c>
      <c r="J784" s="14">
        <v>47992.948543333419</v>
      </c>
      <c r="K784" s="14">
        <v>139179.55077600922</v>
      </c>
      <c r="M784" s="12">
        <f>MAX((Inputs!F$25*POWER(1+(Inputs!$C$3-(Inputs!$C$3*(('Steady State'!$A784-1)/Inputs!$C$4))),'Steady State'!$A784-1)),M783)</f>
        <v>48712.842776949758</v>
      </c>
      <c r="N784" s="12">
        <f>MAX((Inputs!G$25*POWER(1+(Inputs!$C$3-(Inputs!$C$3*(('Steady State'!$A784-1)/Inputs!$C$4))),'Steady State'!$A784-1)),N783)</f>
        <v>20876.932618692754</v>
      </c>
      <c r="O784" s="12">
        <v>0</v>
      </c>
      <c r="P784" s="12">
        <v>0</v>
      </c>
    </row>
    <row r="785" spans="1:16" x14ac:dyDescent="0.35">
      <c r="A785">
        <v>783</v>
      </c>
      <c r="C785" s="14">
        <f t="shared" si="49"/>
        <v>1038704.5292337876</v>
      </c>
      <c r="D785" s="14">
        <f t="shared" si="50"/>
        <v>881013.41252590867</v>
      </c>
      <c r="E785" s="14">
        <f t="shared" si="51"/>
        <v>47992.948543526654</v>
      </c>
      <c r="F785" s="14">
        <f t="shared" si="48"/>
        <v>69589.775388413167</v>
      </c>
      <c r="H785" s="14" cm="1">
        <f t="array" ref="H785:K785">MMULT($C784:$F784,P_Matrix)</f>
        <v>989991.68645683781</v>
      </c>
      <c r="I785" s="14">
        <v>860136.47990721592</v>
      </c>
      <c r="J785" s="14">
        <v>47992.948543526654</v>
      </c>
      <c r="K785" s="14">
        <v>139179.5507765573</v>
      </c>
      <c r="M785" s="12">
        <f>MAX((Inputs!F$25*POWER(1+(Inputs!$C$3-(Inputs!$C$3*(('Steady State'!$A785-1)/Inputs!$C$4))),'Steady State'!$A785-1)),M784)</f>
        <v>48712.842776949758</v>
      </c>
      <c r="N785" s="12">
        <f>MAX((Inputs!G$25*POWER(1+(Inputs!$C$3-(Inputs!$C$3*(('Steady State'!$A785-1)/Inputs!$C$4))),'Steady State'!$A785-1)),N784)</f>
        <v>20876.932618692754</v>
      </c>
      <c r="O785" s="12">
        <v>0</v>
      </c>
      <c r="P785" s="12">
        <v>0</v>
      </c>
    </row>
    <row r="786" spans="1:16" x14ac:dyDescent="0.35">
      <c r="A786">
        <v>784</v>
      </c>
      <c r="C786" s="14">
        <f t="shared" si="49"/>
        <v>1038704.5292363218</v>
      </c>
      <c r="D786" s="14">
        <f t="shared" si="50"/>
        <v>881013.41253015806</v>
      </c>
      <c r="E786" s="14">
        <f t="shared" si="51"/>
        <v>47992.948543712955</v>
      </c>
      <c r="F786" s="14">
        <f t="shared" si="48"/>
        <v>69589.77538867254</v>
      </c>
      <c r="H786" s="14" cm="1">
        <f t="array" ref="H786:K786">MMULT($C785:$F785,P_Matrix)</f>
        <v>989991.68645937205</v>
      </c>
      <c r="I786" s="14">
        <v>860136.47991146531</v>
      </c>
      <c r="J786" s="14">
        <v>47992.948543712955</v>
      </c>
      <c r="K786" s="14">
        <v>139179.55077708571</v>
      </c>
      <c r="M786" s="12">
        <f>MAX((Inputs!F$25*POWER(1+(Inputs!$C$3-(Inputs!$C$3*(('Steady State'!$A786-1)/Inputs!$C$4))),'Steady State'!$A786-1)),M785)</f>
        <v>48712.842776949758</v>
      </c>
      <c r="N786" s="12">
        <f>MAX((Inputs!G$25*POWER(1+(Inputs!$C$3-(Inputs!$C$3*(('Steady State'!$A786-1)/Inputs!$C$4))),'Steady State'!$A786-1)),N785)</f>
        <v>20876.932618692754</v>
      </c>
      <c r="O786" s="12">
        <v>0</v>
      </c>
      <c r="P786" s="12">
        <v>0</v>
      </c>
    </row>
    <row r="787" spans="1:16" x14ac:dyDescent="0.35">
      <c r="A787">
        <v>785</v>
      </c>
      <c r="C787" s="14">
        <f t="shared" si="49"/>
        <v>1038704.5292387651</v>
      </c>
      <c r="D787" s="14">
        <f t="shared" si="50"/>
        <v>881013.41253425495</v>
      </c>
      <c r="E787" s="14">
        <f t="shared" si="51"/>
        <v>47992.948543892577</v>
      </c>
      <c r="F787" s="14">
        <f t="shared" si="48"/>
        <v>69589.77538892263</v>
      </c>
      <c r="H787" s="14" cm="1">
        <f t="array" ref="H787:K787">MMULT($C786:$F786,P_Matrix)</f>
        <v>989991.68646181538</v>
      </c>
      <c r="I787" s="14">
        <v>860136.4799155622</v>
      </c>
      <c r="J787" s="14">
        <v>47992.948543892577</v>
      </c>
      <c r="K787" s="14">
        <v>139179.55077759517</v>
      </c>
      <c r="M787" s="12">
        <f>MAX((Inputs!F$25*POWER(1+(Inputs!$C$3-(Inputs!$C$3*(('Steady State'!$A787-1)/Inputs!$C$4))),'Steady State'!$A787-1)),M786)</f>
        <v>48712.842776949758</v>
      </c>
      <c r="N787" s="12">
        <f>MAX((Inputs!G$25*POWER(1+(Inputs!$C$3-(Inputs!$C$3*(('Steady State'!$A787-1)/Inputs!$C$4))),'Steady State'!$A787-1)),N786)</f>
        <v>20876.932618692754</v>
      </c>
      <c r="O787" s="12">
        <v>0</v>
      </c>
      <c r="P787" s="12">
        <v>0</v>
      </c>
    </row>
    <row r="788" spans="1:16" x14ac:dyDescent="0.35">
      <c r="A788">
        <v>786</v>
      </c>
      <c r="C788" s="14">
        <f t="shared" si="49"/>
        <v>1038704.5292411208</v>
      </c>
      <c r="D788" s="14">
        <f t="shared" si="50"/>
        <v>881013.41253820492</v>
      </c>
      <c r="E788" s="14">
        <f t="shared" si="51"/>
        <v>47992.948544065744</v>
      </c>
      <c r="F788" s="14">
        <f t="shared" si="48"/>
        <v>69589.775389163726</v>
      </c>
      <c r="H788" s="14" cm="1">
        <f t="array" ref="H788:K788">MMULT($C787:$F787,P_Matrix)</f>
        <v>989991.68646417104</v>
      </c>
      <c r="I788" s="14">
        <v>860136.47991951217</v>
      </c>
      <c r="J788" s="14">
        <v>47992.948544065744</v>
      </c>
      <c r="K788" s="14">
        <v>139179.55077808636</v>
      </c>
      <c r="M788" s="12">
        <f>MAX((Inputs!F$25*POWER(1+(Inputs!$C$3-(Inputs!$C$3*(('Steady State'!$A788-1)/Inputs!$C$4))),'Steady State'!$A788-1)),M787)</f>
        <v>48712.842776949758</v>
      </c>
      <c r="N788" s="12">
        <f>MAX((Inputs!G$25*POWER(1+(Inputs!$C$3-(Inputs!$C$3*(('Steady State'!$A788-1)/Inputs!$C$4))),'Steady State'!$A788-1)),N787)</f>
        <v>20876.932618692754</v>
      </c>
      <c r="O788" s="12">
        <v>0</v>
      </c>
      <c r="P788" s="12">
        <v>0</v>
      </c>
    </row>
    <row r="789" spans="1:16" x14ac:dyDescent="0.35">
      <c r="A789">
        <v>787</v>
      </c>
      <c r="C789" s="14">
        <f t="shared" si="49"/>
        <v>1038704.5292433919</v>
      </c>
      <c r="D789" s="14">
        <f t="shared" si="50"/>
        <v>881013.4125420131</v>
      </c>
      <c r="E789" s="14">
        <f t="shared" si="51"/>
        <v>47992.948544232706</v>
      </c>
      <c r="F789" s="14">
        <f t="shared" si="48"/>
        <v>69589.775389396207</v>
      </c>
      <c r="H789" s="14" cm="1">
        <f t="array" ref="H789:K789">MMULT($C788:$F788,P_Matrix)</f>
        <v>989991.68646644219</v>
      </c>
      <c r="I789" s="14">
        <v>860136.47992332035</v>
      </c>
      <c r="J789" s="14">
        <v>47992.948544232706</v>
      </c>
      <c r="K789" s="14">
        <v>139179.55077855993</v>
      </c>
      <c r="M789" s="12">
        <f>MAX((Inputs!F$25*POWER(1+(Inputs!$C$3-(Inputs!$C$3*(('Steady State'!$A789-1)/Inputs!$C$4))),'Steady State'!$A789-1)),M788)</f>
        <v>48712.842776949758</v>
      </c>
      <c r="N789" s="12">
        <f>MAX((Inputs!G$25*POWER(1+(Inputs!$C$3-(Inputs!$C$3*(('Steady State'!$A789-1)/Inputs!$C$4))),'Steady State'!$A789-1)),N788)</f>
        <v>20876.932618692754</v>
      </c>
      <c r="O789" s="12">
        <v>0</v>
      </c>
      <c r="P789" s="12">
        <v>0</v>
      </c>
    </row>
    <row r="790" spans="1:16" x14ac:dyDescent="0.35">
      <c r="A790">
        <v>788</v>
      </c>
      <c r="C790" s="14">
        <f t="shared" si="49"/>
        <v>1038704.5292455815</v>
      </c>
      <c r="D790" s="14">
        <f t="shared" si="50"/>
        <v>881013.41254568461</v>
      </c>
      <c r="E790" s="14">
        <f t="shared" si="51"/>
        <v>47992.948544393672</v>
      </c>
      <c r="F790" s="14">
        <f t="shared" si="48"/>
        <v>69589.775389620307</v>
      </c>
      <c r="H790" s="14" cm="1">
        <f t="array" ref="H790:K790">MMULT($C789:$F789,P_Matrix)</f>
        <v>989991.68646863173</v>
      </c>
      <c r="I790" s="14">
        <v>860136.47992699186</v>
      </c>
      <c r="J790" s="14">
        <v>47992.948544393672</v>
      </c>
      <c r="K790" s="14">
        <v>139179.55077901651</v>
      </c>
      <c r="M790" s="12">
        <f>MAX((Inputs!F$25*POWER(1+(Inputs!$C$3-(Inputs!$C$3*(('Steady State'!$A790-1)/Inputs!$C$4))),'Steady State'!$A790-1)),M789)</f>
        <v>48712.842776949758</v>
      </c>
      <c r="N790" s="12">
        <f>MAX((Inputs!G$25*POWER(1+(Inputs!$C$3-(Inputs!$C$3*(('Steady State'!$A790-1)/Inputs!$C$4))),'Steady State'!$A790-1)),N789)</f>
        <v>20876.932618692754</v>
      </c>
      <c r="O790" s="12">
        <v>0</v>
      </c>
      <c r="P790" s="12">
        <v>0</v>
      </c>
    </row>
    <row r="791" spans="1:16" x14ac:dyDescent="0.35">
      <c r="A791">
        <v>789</v>
      </c>
      <c r="C791" s="14">
        <f t="shared" si="49"/>
        <v>1038704.5292476924</v>
      </c>
      <c r="D791" s="14">
        <f t="shared" si="50"/>
        <v>881013.41254922445</v>
      </c>
      <c r="E791" s="14">
        <f t="shared" si="51"/>
        <v>47992.948544548868</v>
      </c>
      <c r="F791" s="14">
        <f t="shared" si="48"/>
        <v>69589.775389836403</v>
      </c>
      <c r="H791" s="14" cm="1">
        <f t="array" ref="H791:K791">MMULT($C790:$F790,P_Matrix)</f>
        <v>989991.68647074269</v>
      </c>
      <c r="I791" s="14">
        <v>860136.4799305317</v>
      </c>
      <c r="J791" s="14">
        <v>47992.948544548868</v>
      </c>
      <c r="K791" s="14">
        <v>139179.55077945671</v>
      </c>
      <c r="M791" s="12">
        <f>MAX((Inputs!F$25*POWER(1+(Inputs!$C$3-(Inputs!$C$3*(('Steady State'!$A791-1)/Inputs!$C$4))),'Steady State'!$A791-1)),M790)</f>
        <v>48712.842776949758</v>
      </c>
      <c r="N791" s="12">
        <f>MAX((Inputs!G$25*POWER(1+(Inputs!$C$3-(Inputs!$C$3*(('Steady State'!$A791-1)/Inputs!$C$4))),'Steady State'!$A791-1)),N790)</f>
        <v>20876.932618692754</v>
      </c>
      <c r="O791" s="12">
        <v>0</v>
      </c>
      <c r="P791" s="12">
        <v>0</v>
      </c>
    </row>
    <row r="792" spans="1:16" x14ac:dyDescent="0.35">
      <c r="A792">
        <v>790</v>
      </c>
      <c r="C792" s="14">
        <f t="shared" si="49"/>
        <v>1038704.5292497277</v>
      </c>
      <c r="D792" s="14">
        <f t="shared" si="50"/>
        <v>881013.41255263728</v>
      </c>
      <c r="E792" s="14">
        <f t="shared" si="51"/>
        <v>47992.948544698491</v>
      </c>
      <c r="F792" s="14">
        <f t="shared" si="48"/>
        <v>69589.775390044728</v>
      </c>
      <c r="H792" s="14" cm="1">
        <f t="array" ref="H792:K792">MMULT($C791:$F791,P_Matrix)</f>
        <v>989991.68647277798</v>
      </c>
      <c r="I792" s="14">
        <v>860136.47993394453</v>
      </c>
      <c r="J792" s="14">
        <v>47992.948544698491</v>
      </c>
      <c r="K792" s="14">
        <v>139179.55077988113</v>
      </c>
      <c r="M792" s="12">
        <f>MAX((Inputs!F$25*POWER(1+(Inputs!$C$3-(Inputs!$C$3*(('Steady State'!$A792-1)/Inputs!$C$4))),'Steady State'!$A792-1)),M791)</f>
        <v>48712.842776949758</v>
      </c>
      <c r="N792" s="12">
        <f>MAX((Inputs!G$25*POWER(1+(Inputs!$C$3-(Inputs!$C$3*(('Steady State'!$A792-1)/Inputs!$C$4))),'Steady State'!$A792-1)),N791)</f>
        <v>20876.932618692754</v>
      </c>
      <c r="O792" s="12">
        <v>0</v>
      </c>
      <c r="P792" s="12">
        <v>0</v>
      </c>
    </row>
    <row r="793" spans="1:16" x14ac:dyDescent="0.35">
      <c r="A793">
        <v>791</v>
      </c>
      <c r="C793" s="14">
        <f t="shared" si="49"/>
        <v>1038704.52925169</v>
      </c>
      <c r="D793" s="14">
        <f t="shared" si="50"/>
        <v>881013.41255592753</v>
      </c>
      <c r="E793" s="14">
        <f t="shared" si="51"/>
        <v>47992.948544842744</v>
      </c>
      <c r="F793" s="14">
        <f t="shared" si="48"/>
        <v>69589.775390245573</v>
      </c>
      <c r="H793" s="14" cm="1">
        <f t="array" ref="H793:K793">MMULT($C792:$F792,P_Matrix)</f>
        <v>989991.68647474027</v>
      </c>
      <c r="I793" s="14">
        <v>860136.47993723478</v>
      </c>
      <c r="J793" s="14">
        <v>47992.948544842744</v>
      </c>
      <c r="K793" s="14">
        <v>139179.5507802903</v>
      </c>
      <c r="M793" s="12">
        <f>MAX((Inputs!F$25*POWER(1+(Inputs!$C$3-(Inputs!$C$3*(('Steady State'!$A793-1)/Inputs!$C$4))),'Steady State'!$A793-1)),M792)</f>
        <v>48712.842776949758</v>
      </c>
      <c r="N793" s="12">
        <f>MAX((Inputs!G$25*POWER(1+(Inputs!$C$3-(Inputs!$C$3*(('Steady State'!$A793-1)/Inputs!$C$4))),'Steady State'!$A793-1)),N792)</f>
        <v>20876.932618692754</v>
      </c>
      <c r="O793" s="12">
        <v>0</v>
      </c>
      <c r="P793" s="12">
        <v>0</v>
      </c>
    </row>
    <row r="794" spans="1:16" x14ac:dyDescent="0.35">
      <c r="A794">
        <v>792</v>
      </c>
      <c r="C794" s="14">
        <f t="shared" si="49"/>
        <v>1038704.5292535818</v>
      </c>
      <c r="D794" s="14">
        <f t="shared" si="50"/>
        <v>881013.41255909973</v>
      </c>
      <c r="E794" s="14">
        <f t="shared" si="51"/>
        <v>47992.948544981824</v>
      </c>
      <c r="F794" s="14">
        <f t="shared" si="48"/>
        <v>69589.775390439201</v>
      </c>
      <c r="H794" s="14" cm="1">
        <f t="array" ref="H794:K794">MMULT($C793:$F793,P_Matrix)</f>
        <v>989991.68647663202</v>
      </c>
      <c r="I794" s="14">
        <v>860136.47994040698</v>
      </c>
      <c r="J794" s="14">
        <v>47992.948544981824</v>
      </c>
      <c r="K794" s="14">
        <v>139179.55078068477</v>
      </c>
      <c r="M794" s="12">
        <f>MAX((Inputs!F$25*POWER(1+(Inputs!$C$3-(Inputs!$C$3*(('Steady State'!$A794-1)/Inputs!$C$4))),'Steady State'!$A794-1)),M793)</f>
        <v>48712.842776949758</v>
      </c>
      <c r="N794" s="12">
        <f>MAX((Inputs!G$25*POWER(1+(Inputs!$C$3-(Inputs!$C$3*(('Steady State'!$A794-1)/Inputs!$C$4))),'Steady State'!$A794-1)),N793)</f>
        <v>20876.932618692754</v>
      </c>
      <c r="O794" s="12">
        <v>0</v>
      </c>
      <c r="P794" s="12">
        <v>0</v>
      </c>
    </row>
    <row r="795" spans="1:16" x14ac:dyDescent="0.35">
      <c r="A795">
        <v>793</v>
      </c>
      <c r="C795" s="14">
        <f t="shared" si="49"/>
        <v>1038704.5292554058</v>
      </c>
      <c r="D795" s="14">
        <f t="shared" si="50"/>
        <v>881013.41256215819</v>
      </c>
      <c r="E795" s="14">
        <f t="shared" si="51"/>
        <v>47992.948545115913</v>
      </c>
      <c r="F795" s="14">
        <f t="shared" si="48"/>
        <v>69589.775390625902</v>
      </c>
      <c r="H795" s="14" cm="1">
        <f t="array" ref="H795:K795">MMULT($C794:$F794,P_Matrix)</f>
        <v>989991.68647845602</v>
      </c>
      <c r="I795" s="14">
        <v>860136.47994346544</v>
      </c>
      <c r="J795" s="14">
        <v>47992.948545115913</v>
      </c>
      <c r="K795" s="14">
        <v>139179.5507810651</v>
      </c>
      <c r="M795" s="12">
        <f>MAX((Inputs!F$25*POWER(1+(Inputs!$C$3-(Inputs!$C$3*(('Steady State'!$A795-1)/Inputs!$C$4))),'Steady State'!$A795-1)),M794)</f>
        <v>48712.842776949758</v>
      </c>
      <c r="N795" s="12">
        <f>MAX((Inputs!G$25*POWER(1+(Inputs!$C$3-(Inputs!$C$3*(('Steady State'!$A795-1)/Inputs!$C$4))),'Steady State'!$A795-1)),N794)</f>
        <v>20876.932618692754</v>
      </c>
      <c r="O795" s="12">
        <v>0</v>
      </c>
      <c r="P795" s="12">
        <v>0</v>
      </c>
    </row>
    <row r="796" spans="1:16" x14ac:dyDescent="0.35">
      <c r="A796">
        <v>794</v>
      </c>
      <c r="C796" s="14">
        <f t="shared" si="49"/>
        <v>1038704.5292571642</v>
      </c>
      <c r="D796" s="14">
        <f t="shared" si="50"/>
        <v>881013.41256510688</v>
      </c>
      <c r="E796" s="14">
        <f t="shared" si="51"/>
        <v>47992.948545245192</v>
      </c>
      <c r="F796" s="14">
        <f t="shared" si="48"/>
        <v>69589.77539080588</v>
      </c>
      <c r="H796" s="14" cm="1">
        <f t="array" ref="H796:K796">MMULT($C795:$F795,P_Matrix)</f>
        <v>989991.68648021447</v>
      </c>
      <c r="I796" s="14">
        <v>860136.47994641413</v>
      </c>
      <c r="J796" s="14">
        <v>47992.948545245192</v>
      </c>
      <c r="K796" s="14">
        <v>139179.55078143178</v>
      </c>
      <c r="M796" s="12">
        <f>MAX((Inputs!F$25*POWER(1+(Inputs!$C$3-(Inputs!$C$3*(('Steady State'!$A796-1)/Inputs!$C$4))),'Steady State'!$A796-1)),M795)</f>
        <v>48712.842776949758</v>
      </c>
      <c r="N796" s="12">
        <f>MAX((Inputs!G$25*POWER(1+(Inputs!$C$3-(Inputs!$C$3*(('Steady State'!$A796-1)/Inputs!$C$4))),'Steady State'!$A796-1)),N795)</f>
        <v>20876.932618692754</v>
      </c>
      <c r="O796" s="12">
        <v>0</v>
      </c>
      <c r="P796" s="12">
        <v>0</v>
      </c>
    </row>
    <row r="797" spans="1:16" x14ac:dyDescent="0.35">
      <c r="A797">
        <v>795</v>
      </c>
      <c r="C797" s="14">
        <f t="shared" si="49"/>
        <v>1038704.5292588597</v>
      </c>
      <c r="D797" s="14">
        <f t="shared" si="50"/>
        <v>881013.41256794985</v>
      </c>
      <c r="E797" s="14">
        <f t="shared" si="51"/>
        <v>47992.948545369829</v>
      </c>
      <c r="F797" s="14">
        <f t="shared" si="48"/>
        <v>69589.775390979426</v>
      </c>
      <c r="H797" s="14" cm="1">
        <f t="array" ref="H797:K797">MMULT($C796:$F796,P_Matrix)</f>
        <v>989991.68648190994</v>
      </c>
      <c r="I797" s="14">
        <v>860136.4799492571</v>
      </c>
      <c r="J797" s="14">
        <v>47992.948545369829</v>
      </c>
      <c r="K797" s="14">
        <v>139179.55078178531</v>
      </c>
      <c r="M797" s="12">
        <f>MAX((Inputs!F$25*POWER(1+(Inputs!$C$3-(Inputs!$C$3*(('Steady State'!$A797-1)/Inputs!$C$4))),'Steady State'!$A797-1)),M796)</f>
        <v>48712.842776949758</v>
      </c>
      <c r="N797" s="12">
        <f>MAX((Inputs!G$25*POWER(1+(Inputs!$C$3-(Inputs!$C$3*(('Steady State'!$A797-1)/Inputs!$C$4))),'Steady State'!$A797-1)),N796)</f>
        <v>20876.932618692754</v>
      </c>
      <c r="O797" s="12">
        <v>0</v>
      </c>
      <c r="P797" s="12">
        <v>0</v>
      </c>
    </row>
    <row r="798" spans="1:16" x14ac:dyDescent="0.35">
      <c r="A798">
        <v>796</v>
      </c>
      <c r="C798" s="14">
        <f t="shared" si="49"/>
        <v>1038704.5292604943</v>
      </c>
      <c r="D798" s="14">
        <f t="shared" si="50"/>
        <v>881013.41257069074</v>
      </c>
      <c r="E798" s="14">
        <f t="shared" si="51"/>
        <v>47992.948545489999</v>
      </c>
      <c r="F798" s="14">
        <f t="shared" si="48"/>
        <v>69589.775391146744</v>
      </c>
      <c r="H798" s="14" cm="1">
        <f t="array" ref="H798:K798">MMULT($C797:$F797,P_Matrix)</f>
        <v>989991.68648354453</v>
      </c>
      <c r="I798" s="14">
        <v>860136.47995199799</v>
      </c>
      <c r="J798" s="14">
        <v>47992.948545489999</v>
      </c>
      <c r="K798" s="14">
        <v>139179.55078212617</v>
      </c>
      <c r="M798" s="12">
        <f>MAX((Inputs!F$25*POWER(1+(Inputs!$C$3-(Inputs!$C$3*(('Steady State'!$A798-1)/Inputs!$C$4))),'Steady State'!$A798-1)),M797)</f>
        <v>48712.842776949758</v>
      </c>
      <c r="N798" s="12">
        <f>MAX((Inputs!G$25*POWER(1+(Inputs!$C$3-(Inputs!$C$3*(('Steady State'!$A798-1)/Inputs!$C$4))),'Steady State'!$A798-1)),N797)</f>
        <v>20876.932618692754</v>
      </c>
      <c r="O798" s="12">
        <v>0</v>
      </c>
      <c r="P798" s="12">
        <v>0</v>
      </c>
    </row>
    <row r="799" spans="1:16" x14ac:dyDescent="0.35">
      <c r="A799">
        <v>797</v>
      </c>
      <c r="C799" s="14">
        <f t="shared" si="49"/>
        <v>1038704.5292620702</v>
      </c>
      <c r="D799" s="14">
        <f t="shared" si="50"/>
        <v>881013.41257333325</v>
      </c>
      <c r="E799" s="14">
        <f t="shared" si="51"/>
        <v>47992.948545605846</v>
      </c>
      <c r="F799" s="14">
        <f t="shared" si="48"/>
        <v>69589.775391308038</v>
      </c>
      <c r="H799" s="14" cm="1">
        <f t="array" ref="H799:K799">MMULT($C798:$F798,P_Matrix)</f>
        <v>989991.68648512044</v>
      </c>
      <c r="I799" s="14">
        <v>860136.4799546405</v>
      </c>
      <c r="J799" s="14">
        <v>47992.948545605846</v>
      </c>
      <c r="K799" s="14">
        <v>139179.55078245478</v>
      </c>
      <c r="M799" s="12">
        <f>MAX((Inputs!F$25*POWER(1+(Inputs!$C$3-(Inputs!$C$3*(('Steady State'!$A799-1)/Inputs!$C$4))),'Steady State'!$A799-1)),M798)</f>
        <v>48712.842776949758</v>
      </c>
      <c r="N799" s="12">
        <f>MAX((Inputs!G$25*POWER(1+(Inputs!$C$3-(Inputs!$C$3*(('Steady State'!$A799-1)/Inputs!$C$4))),'Steady State'!$A799-1)),N798)</f>
        <v>20876.932618692754</v>
      </c>
      <c r="O799" s="12">
        <v>0</v>
      </c>
      <c r="P799" s="12">
        <v>0</v>
      </c>
    </row>
    <row r="800" spans="1:16" x14ac:dyDescent="0.35">
      <c r="A800">
        <v>798</v>
      </c>
      <c r="C800" s="14">
        <f t="shared" si="49"/>
        <v>1038704.5292635896</v>
      </c>
      <c r="D800" s="14">
        <f t="shared" si="50"/>
        <v>881013.41257588111</v>
      </c>
      <c r="E800" s="14">
        <f t="shared" si="51"/>
        <v>47992.94854571754</v>
      </c>
      <c r="F800" s="14">
        <f t="shared" si="48"/>
        <v>69589.775391463569</v>
      </c>
      <c r="H800" s="14" cm="1">
        <f t="array" ref="H800:K800">MMULT($C799:$F799,P_Matrix)</f>
        <v>989991.6864866399</v>
      </c>
      <c r="I800" s="14">
        <v>860136.47995718836</v>
      </c>
      <c r="J800" s="14">
        <v>47992.94854571754</v>
      </c>
      <c r="K800" s="14">
        <v>139179.55078277161</v>
      </c>
      <c r="M800" s="12">
        <f>MAX((Inputs!F$25*POWER(1+(Inputs!$C$3-(Inputs!$C$3*(('Steady State'!$A800-1)/Inputs!$C$4))),'Steady State'!$A800-1)),M799)</f>
        <v>48712.842776949758</v>
      </c>
      <c r="N800" s="12">
        <f>MAX((Inputs!G$25*POWER(1+(Inputs!$C$3-(Inputs!$C$3*(('Steady State'!$A800-1)/Inputs!$C$4))),'Steady State'!$A800-1)),N799)</f>
        <v>20876.932618692754</v>
      </c>
      <c r="O800" s="12">
        <v>0</v>
      </c>
      <c r="P800" s="12">
        <v>0</v>
      </c>
    </row>
    <row r="801" spans="1:16" x14ac:dyDescent="0.35">
      <c r="A801">
        <v>799</v>
      </c>
      <c r="C801" s="14">
        <f t="shared" si="49"/>
        <v>1038704.5292650545</v>
      </c>
      <c r="D801" s="14">
        <f t="shared" si="50"/>
        <v>881013.41257833748</v>
      </c>
      <c r="E801" s="14">
        <f t="shared" si="51"/>
        <v>47992.948545825231</v>
      </c>
      <c r="F801" s="14">
        <f t="shared" si="48"/>
        <v>69589.775391613512</v>
      </c>
      <c r="H801" s="14" cm="1">
        <f t="array" ref="H801:K801">MMULT($C800:$F800,P_Matrix)</f>
        <v>989991.68648810475</v>
      </c>
      <c r="I801" s="14">
        <v>860136.47995964473</v>
      </c>
      <c r="J801" s="14">
        <v>47992.948545825231</v>
      </c>
      <c r="K801" s="14">
        <v>139179.55078307708</v>
      </c>
      <c r="M801" s="12">
        <f>MAX((Inputs!F$25*POWER(1+(Inputs!$C$3-(Inputs!$C$3*(('Steady State'!$A801-1)/Inputs!$C$4))),'Steady State'!$A801-1)),M800)</f>
        <v>48712.842776949758</v>
      </c>
      <c r="N801" s="12">
        <f>MAX((Inputs!G$25*POWER(1+(Inputs!$C$3-(Inputs!$C$3*(('Steady State'!$A801-1)/Inputs!$C$4))),'Steady State'!$A801-1)),N800)</f>
        <v>20876.932618692754</v>
      </c>
      <c r="O801" s="12">
        <v>0</v>
      </c>
      <c r="P801" s="12">
        <v>0</v>
      </c>
    </row>
    <row r="802" spans="1:16" x14ac:dyDescent="0.35">
      <c r="A802">
        <v>800</v>
      </c>
      <c r="C802" s="14">
        <f t="shared" si="49"/>
        <v>1038704.5292664667</v>
      </c>
      <c r="D802" s="14">
        <f t="shared" si="50"/>
        <v>881013.4125807056</v>
      </c>
      <c r="E802" s="14">
        <f t="shared" si="51"/>
        <v>47992.948545929059</v>
      </c>
      <c r="F802" s="14">
        <f t="shared" si="48"/>
        <v>69589.77539175807</v>
      </c>
      <c r="H802" s="14" cm="1">
        <f t="array" ref="H802:K802">MMULT($C801:$F801,P_Matrix)</f>
        <v>989991.68648951699</v>
      </c>
      <c r="I802" s="14">
        <v>860136.47996201285</v>
      </c>
      <c r="J802" s="14">
        <v>47992.948545929059</v>
      </c>
      <c r="K802" s="14">
        <v>139179.55078337158</v>
      </c>
      <c r="M802" s="12">
        <f>MAX((Inputs!F$25*POWER(1+(Inputs!$C$3-(Inputs!$C$3*(('Steady State'!$A802-1)/Inputs!$C$4))),'Steady State'!$A802-1)),M801)</f>
        <v>48712.842776949758</v>
      </c>
      <c r="N802" s="12">
        <f>MAX((Inputs!G$25*POWER(1+(Inputs!$C$3-(Inputs!$C$3*(('Steady State'!$A802-1)/Inputs!$C$4))),'Steady State'!$A802-1)),N801)</f>
        <v>20876.932618692754</v>
      </c>
      <c r="O802" s="12">
        <v>0</v>
      </c>
      <c r="P802" s="12">
        <v>0</v>
      </c>
    </row>
    <row r="803" spans="1:16" x14ac:dyDescent="0.35">
      <c r="A803">
        <v>801</v>
      </c>
      <c r="C803" s="14">
        <f t="shared" si="49"/>
        <v>1038704.5292678284</v>
      </c>
      <c r="D803" s="14">
        <f t="shared" si="50"/>
        <v>881013.41258298885</v>
      </c>
      <c r="E803" s="14">
        <f t="shared" si="51"/>
        <v>47992.948546029162</v>
      </c>
      <c r="F803" s="14">
        <f t="shared" si="48"/>
        <v>69589.775391897419</v>
      </c>
      <c r="H803" s="14" cm="1">
        <f t="array" ref="H803:K803">MMULT($C802:$F802,P_Matrix)</f>
        <v>989991.6864908787</v>
      </c>
      <c r="I803" s="14">
        <v>860136.4799642961</v>
      </c>
      <c r="J803" s="14">
        <v>47992.948546029162</v>
      </c>
      <c r="K803" s="14">
        <v>139179.55078365549</v>
      </c>
      <c r="M803" s="12">
        <f>MAX((Inputs!F$25*POWER(1+(Inputs!$C$3-(Inputs!$C$3*(('Steady State'!$A803-1)/Inputs!$C$4))),'Steady State'!$A803-1)),M802)</f>
        <v>48712.842776949758</v>
      </c>
      <c r="N803" s="12">
        <f>MAX((Inputs!G$25*POWER(1+(Inputs!$C$3-(Inputs!$C$3*(('Steady State'!$A803-1)/Inputs!$C$4))),'Steady State'!$A803-1)),N802)</f>
        <v>20876.932618692754</v>
      </c>
      <c r="O803" s="12">
        <v>0</v>
      </c>
      <c r="P803" s="12">
        <v>0</v>
      </c>
    </row>
    <row r="804" spans="1:16" x14ac:dyDescent="0.35">
      <c r="A804">
        <v>802</v>
      </c>
      <c r="C804" s="14">
        <f t="shared" si="49"/>
        <v>1038704.5292691413</v>
      </c>
      <c r="D804" s="14">
        <f t="shared" si="50"/>
        <v>881013.41258519015</v>
      </c>
      <c r="E804" s="14">
        <f t="shared" si="51"/>
        <v>47992.94854612567</v>
      </c>
      <c r="F804" s="14">
        <f t="shared" si="48"/>
        <v>69589.775392031821</v>
      </c>
      <c r="H804" s="14" cm="1">
        <f t="array" ref="H804:K804">MMULT($C803:$F803,P_Matrix)</f>
        <v>989991.68649219151</v>
      </c>
      <c r="I804" s="14">
        <v>860136.4799664974</v>
      </c>
      <c r="J804" s="14">
        <v>47992.94854612567</v>
      </c>
      <c r="K804" s="14">
        <v>139179.55078392924</v>
      </c>
      <c r="M804" s="12">
        <f>MAX((Inputs!F$25*POWER(1+(Inputs!$C$3-(Inputs!$C$3*(('Steady State'!$A804-1)/Inputs!$C$4))),'Steady State'!$A804-1)),M803)</f>
        <v>48712.842776949758</v>
      </c>
      <c r="N804" s="12">
        <f>MAX((Inputs!G$25*POWER(1+(Inputs!$C$3-(Inputs!$C$3*(('Steady State'!$A804-1)/Inputs!$C$4))),'Steady State'!$A804-1)),N803)</f>
        <v>20876.932618692754</v>
      </c>
      <c r="O804" s="12">
        <v>0</v>
      </c>
      <c r="P804" s="12">
        <v>0</v>
      </c>
    </row>
    <row r="805" spans="1:16" x14ac:dyDescent="0.35">
      <c r="A805">
        <v>803</v>
      </c>
      <c r="C805" s="14">
        <f t="shared" si="49"/>
        <v>1038704.5292704069</v>
      </c>
      <c r="D805" s="14">
        <f t="shared" si="50"/>
        <v>881013.4125873124</v>
      </c>
      <c r="E805" s="14">
        <f t="shared" si="51"/>
        <v>47992.948546218715</v>
      </c>
      <c r="F805" s="14">
        <f t="shared" si="48"/>
        <v>69589.775392161362</v>
      </c>
      <c r="H805" s="14" cm="1">
        <f t="array" ref="H805:K805">MMULT($C804:$F804,P_Matrix)</f>
        <v>989991.68649345718</v>
      </c>
      <c r="I805" s="14">
        <v>860136.47996861965</v>
      </c>
      <c r="J805" s="14">
        <v>47992.948546218715</v>
      </c>
      <c r="K805" s="14">
        <v>139179.55078419318</v>
      </c>
      <c r="M805" s="12">
        <f>MAX((Inputs!F$25*POWER(1+(Inputs!$C$3-(Inputs!$C$3*(('Steady State'!$A805-1)/Inputs!$C$4))),'Steady State'!$A805-1)),M804)</f>
        <v>48712.842776949758</v>
      </c>
      <c r="N805" s="12">
        <f>MAX((Inputs!G$25*POWER(1+(Inputs!$C$3-(Inputs!$C$3*(('Steady State'!$A805-1)/Inputs!$C$4))),'Steady State'!$A805-1)),N804)</f>
        <v>20876.932618692754</v>
      </c>
      <c r="O805" s="12">
        <v>0</v>
      </c>
      <c r="P805" s="12">
        <v>0</v>
      </c>
    </row>
    <row r="806" spans="1:16" x14ac:dyDescent="0.35">
      <c r="A806">
        <v>804</v>
      </c>
      <c r="C806" s="14">
        <f t="shared" si="49"/>
        <v>1038704.5292716272</v>
      </c>
      <c r="D806" s="14">
        <f t="shared" si="50"/>
        <v>881013.41258935863</v>
      </c>
      <c r="E806" s="14">
        <f t="shared" si="51"/>
        <v>47992.948546308427</v>
      </c>
      <c r="F806" s="14">
        <f t="shared" si="48"/>
        <v>69589.775392286247</v>
      </c>
      <c r="H806" s="14" cm="1">
        <f t="array" ref="H806:K806">MMULT($C805:$F805,P_Matrix)</f>
        <v>989991.68649467744</v>
      </c>
      <c r="I806" s="14">
        <v>860136.47997066588</v>
      </c>
      <c r="J806" s="14">
        <v>47992.948546308427</v>
      </c>
      <c r="K806" s="14">
        <v>139179.55078444761</v>
      </c>
      <c r="M806" s="12">
        <f>MAX((Inputs!F$25*POWER(1+(Inputs!$C$3-(Inputs!$C$3*(('Steady State'!$A806-1)/Inputs!$C$4))),'Steady State'!$A806-1)),M805)</f>
        <v>48712.842776949758</v>
      </c>
      <c r="N806" s="12">
        <f>MAX((Inputs!G$25*POWER(1+(Inputs!$C$3-(Inputs!$C$3*(('Steady State'!$A806-1)/Inputs!$C$4))),'Steady State'!$A806-1)),N805)</f>
        <v>20876.932618692754</v>
      </c>
      <c r="O806" s="12">
        <v>0</v>
      </c>
      <c r="P806" s="12">
        <v>0</v>
      </c>
    </row>
    <row r="807" spans="1:16" x14ac:dyDescent="0.35">
      <c r="A807">
        <v>805</v>
      </c>
      <c r="C807" s="14">
        <f t="shared" si="49"/>
        <v>1038704.5292728037</v>
      </c>
      <c r="D807" s="14">
        <f t="shared" si="50"/>
        <v>881013.41259133152</v>
      </c>
      <c r="E807" s="14">
        <f t="shared" si="51"/>
        <v>47992.948546394909</v>
      </c>
      <c r="F807" s="14">
        <f t="shared" si="48"/>
        <v>69589.775392406678</v>
      </c>
      <c r="H807" s="14" cm="1">
        <f t="array" ref="H807:K807">MMULT($C806:$F806,P_Matrix)</f>
        <v>989991.68649585394</v>
      </c>
      <c r="I807" s="14">
        <v>860136.47997263877</v>
      </c>
      <c r="J807" s="14">
        <v>47992.948546394909</v>
      </c>
      <c r="K807" s="14">
        <v>139179.55078469292</v>
      </c>
      <c r="M807" s="12">
        <f>MAX((Inputs!F$25*POWER(1+(Inputs!$C$3-(Inputs!$C$3*(('Steady State'!$A807-1)/Inputs!$C$4))),'Steady State'!$A807-1)),M806)</f>
        <v>48712.842776949758</v>
      </c>
      <c r="N807" s="12">
        <f>MAX((Inputs!G$25*POWER(1+(Inputs!$C$3-(Inputs!$C$3*(('Steady State'!$A807-1)/Inputs!$C$4))),'Steady State'!$A807-1)),N806)</f>
        <v>20876.932618692754</v>
      </c>
      <c r="O807" s="12">
        <v>0</v>
      </c>
      <c r="P807" s="12">
        <v>0</v>
      </c>
    </row>
    <row r="808" spans="1:16" x14ac:dyDescent="0.35">
      <c r="A808">
        <v>806</v>
      </c>
      <c r="C808" s="14">
        <f t="shared" si="49"/>
        <v>1038704.5292739379</v>
      </c>
      <c r="D808" s="14">
        <f t="shared" si="50"/>
        <v>881013.41259323352</v>
      </c>
      <c r="E808" s="14">
        <f t="shared" si="51"/>
        <v>47992.948546478299</v>
      </c>
      <c r="F808" s="14">
        <f t="shared" si="48"/>
        <v>69589.775392522773</v>
      </c>
      <c r="H808" s="14" cm="1">
        <f t="array" ref="H808:K808">MMULT($C807:$F807,P_Matrix)</f>
        <v>989991.68649698817</v>
      </c>
      <c r="I808" s="14">
        <v>860136.47997454077</v>
      </c>
      <c r="J808" s="14">
        <v>47992.948546478299</v>
      </c>
      <c r="K808" s="14">
        <v>139179.55078492945</v>
      </c>
      <c r="M808" s="12">
        <f>MAX((Inputs!F$25*POWER(1+(Inputs!$C$3-(Inputs!$C$3*(('Steady State'!$A808-1)/Inputs!$C$4))),'Steady State'!$A808-1)),M807)</f>
        <v>48712.842776949758</v>
      </c>
      <c r="N808" s="12">
        <f>MAX((Inputs!G$25*POWER(1+(Inputs!$C$3-(Inputs!$C$3*(('Steady State'!$A808-1)/Inputs!$C$4))),'Steady State'!$A808-1)),N807)</f>
        <v>20876.932618692754</v>
      </c>
      <c r="O808" s="12">
        <v>0</v>
      </c>
      <c r="P808" s="12">
        <v>0</v>
      </c>
    </row>
    <row r="809" spans="1:16" x14ac:dyDescent="0.35">
      <c r="A809">
        <v>807</v>
      </c>
      <c r="C809" s="14">
        <f t="shared" si="49"/>
        <v>1038704.5292750315</v>
      </c>
      <c r="D809" s="14">
        <f t="shared" si="50"/>
        <v>881013.41259506729</v>
      </c>
      <c r="E809" s="14">
        <f t="shared" si="51"/>
        <v>47992.948546558691</v>
      </c>
      <c r="F809" s="14">
        <f t="shared" si="48"/>
        <v>69589.775392634707</v>
      </c>
      <c r="H809" s="14" cm="1">
        <f t="array" ref="H809:K809">MMULT($C808:$F808,P_Matrix)</f>
        <v>989991.68649808178</v>
      </c>
      <c r="I809" s="14">
        <v>860136.47997637454</v>
      </c>
      <c r="J809" s="14">
        <v>47992.948546558691</v>
      </c>
      <c r="K809" s="14">
        <v>139179.55078515748</v>
      </c>
      <c r="M809" s="12">
        <f>MAX((Inputs!F$25*POWER(1+(Inputs!$C$3-(Inputs!$C$3*(('Steady State'!$A809-1)/Inputs!$C$4))),'Steady State'!$A809-1)),M808)</f>
        <v>48712.842776949758</v>
      </c>
      <c r="N809" s="12">
        <f>MAX((Inputs!G$25*POWER(1+(Inputs!$C$3-(Inputs!$C$3*(('Steady State'!$A809-1)/Inputs!$C$4))),'Steady State'!$A809-1)),N808)</f>
        <v>20876.932618692754</v>
      </c>
      <c r="O809" s="12">
        <v>0</v>
      </c>
      <c r="P809" s="12">
        <v>0</v>
      </c>
    </row>
    <row r="810" spans="1:16" x14ac:dyDescent="0.35">
      <c r="A810">
        <v>808</v>
      </c>
      <c r="C810" s="14">
        <f t="shared" si="49"/>
        <v>1038704.5292760858</v>
      </c>
      <c r="D810" s="14">
        <f t="shared" si="50"/>
        <v>881013.41259683517</v>
      </c>
      <c r="E810" s="14">
        <f t="shared" si="51"/>
        <v>47992.948546636202</v>
      </c>
      <c r="F810" s="14">
        <f t="shared" si="48"/>
        <v>69589.775392742624</v>
      </c>
      <c r="H810" s="14" cm="1">
        <f t="array" ref="H810:K810">MMULT($C809:$F809,P_Matrix)</f>
        <v>989991.68649913603</v>
      </c>
      <c r="I810" s="14">
        <v>860136.47997814242</v>
      </c>
      <c r="J810" s="14">
        <v>47992.948546636202</v>
      </c>
      <c r="K810" s="14">
        <v>139179.55078537733</v>
      </c>
      <c r="M810" s="12">
        <f>MAX((Inputs!F$25*POWER(1+(Inputs!$C$3-(Inputs!$C$3*(('Steady State'!$A810-1)/Inputs!$C$4))),'Steady State'!$A810-1)),M809)</f>
        <v>48712.842776949758</v>
      </c>
      <c r="N810" s="12">
        <f>MAX((Inputs!G$25*POWER(1+(Inputs!$C$3-(Inputs!$C$3*(('Steady State'!$A810-1)/Inputs!$C$4))),'Steady State'!$A810-1)),N809)</f>
        <v>20876.932618692754</v>
      </c>
      <c r="O810" s="12">
        <v>0</v>
      </c>
      <c r="P810" s="12">
        <v>0</v>
      </c>
    </row>
    <row r="811" spans="1:16" x14ac:dyDescent="0.35">
      <c r="A811">
        <v>809</v>
      </c>
      <c r="C811" s="14">
        <f t="shared" si="49"/>
        <v>1038704.5292771023</v>
      </c>
      <c r="D811" s="14">
        <f t="shared" si="50"/>
        <v>881013.41259853973</v>
      </c>
      <c r="E811" s="14">
        <f t="shared" si="51"/>
        <v>47992.948546710933</v>
      </c>
      <c r="F811" s="14">
        <f t="shared" si="48"/>
        <v>69589.775392846699</v>
      </c>
      <c r="H811" s="14" cm="1">
        <f t="array" ref="H811:K811">MMULT($C810:$F810,P_Matrix)</f>
        <v>989991.68650015257</v>
      </c>
      <c r="I811" s="14">
        <v>860136.47997984698</v>
      </c>
      <c r="J811" s="14">
        <v>47992.948546710933</v>
      </c>
      <c r="K811" s="14">
        <v>139179.55078558932</v>
      </c>
      <c r="M811" s="12">
        <f>MAX((Inputs!F$25*POWER(1+(Inputs!$C$3-(Inputs!$C$3*(('Steady State'!$A811-1)/Inputs!$C$4))),'Steady State'!$A811-1)),M810)</f>
        <v>48712.842776949758</v>
      </c>
      <c r="N811" s="12">
        <f>MAX((Inputs!G$25*POWER(1+(Inputs!$C$3-(Inputs!$C$3*(('Steady State'!$A811-1)/Inputs!$C$4))),'Steady State'!$A811-1)),N810)</f>
        <v>20876.932618692754</v>
      </c>
      <c r="O811" s="12">
        <v>0</v>
      </c>
      <c r="P811" s="12">
        <v>0</v>
      </c>
    </row>
    <row r="812" spans="1:16" x14ac:dyDescent="0.35">
      <c r="A812">
        <v>810</v>
      </c>
      <c r="C812" s="14">
        <f t="shared" si="49"/>
        <v>1038704.5292780824</v>
      </c>
      <c r="D812" s="14">
        <f t="shared" si="50"/>
        <v>881013.41260018293</v>
      </c>
      <c r="E812" s="14">
        <f t="shared" si="51"/>
        <v>47992.94854678298</v>
      </c>
      <c r="F812" s="14">
        <f t="shared" si="48"/>
        <v>69589.775392946991</v>
      </c>
      <c r="H812" s="14" cm="1">
        <f t="array" ref="H812:K812">MMULT($C811:$F811,P_Matrix)</f>
        <v>989991.68650113267</v>
      </c>
      <c r="I812" s="14">
        <v>860136.47998149018</v>
      </c>
      <c r="J812" s="14">
        <v>47992.94854678298</v>
      </c>
      <c r="K812" s="14">
        <v>139179.55078579369</v>
      </c>
      <c r="M812" s="12">
        <f>MAX((Inputs!F$25*POWER(1+(Inputs!$C$3-(Inputs!$C$3*(('Steady State'!$A812-1)/Inputs!$C$4))),'Steady State'!$A812-1)),M811)</f>
        <v>48712.842776949758</v>
      </c>
      <c r="N812" s="12">
        <f>MAX((Inputs!G$25*POWER(1+(Inputs!$C$3-(Inputs!$C$3*(('Steady State'!$A812-1)/Inputs!$C$4))),'Steady State'!$A812-1)),N811)</f>
        <v>20876.932618692754</v>
      </c>
      <c r="O812" s="12">
        <v>0</v>
      </c>
      <c r="P812" s="12">
        <v>0</v>
      </c>
    </row>
    <row r="813" spans="1:16" x14ac:dyDescent="0.35">
      <c r="A813">
        <v>811</v>
      </c>
      <c r="C813" s="14">
        <f t="shared" si="49"/>
        <v>1038704.5292790274</v>
      </c>
      <c r="D813" s="14">
        <f t="shared" si="50"/>
        <v>881013.41260176734</v>
      </c>
      <c r="E813" s="14">
        <f t="shared" si="51"/>
        <v>47992.948546852436</v>
      </c>
      <c r="F813" s="14">
        <f t="shared" si="48"/>
        <v>69589.775393043703</v>
      </c>
      <c r="H813" s="14" cm="1">
        <f t="array" ref="H813:K813">MMULT($C812:$F812,P_Matrix)</f>
        <v>989991.68650207762</v>
      </c>
      <c r="I813" s="14">
        <v>860136.47998307459</v>
      </c>
      <c r="J813" s="14">
        <v>47992.948546852436</v>
      </c>
      <c r="K813" s="14">
        <v>139179.55078599069</v>
      </c>
      <c r="M813" s="12">
        <f>MAX((Inputs!F$25*POWER(1+(Inputs!$C$3-(Inputs!$C$3*(('Steady State'!$A813-1)/Inputs!$C$4))),'Steady State'!$A813-1)),M812)</f>
        <v>48712.842776949758</v>
      </c>
      <c r="N813" s="12">
        <f>MAX((Inputs!G$25*POWER(1+(Inputs!$C$3-(Inputs!$C$3*(('Steady State'!$A813-1)/Inputs!$C$4))),'Steady State'!$A813-1)),N812)</f>
        <v>20876.932618692754</v>
      </c>
      <c r="O813" s="12">
        <v>0</v>
      </c>
      <c r="P813" s="12">
        <v>0</v>
      </c>
    </row>
    <row r="814" spans="1:16" x14ac:dyDescent="0.35">
      <c r="A814">
        <v>812</v>
      </c>
      <c r="C814" s="14">
        <f t="shared" si="49"/>
        <v>1038704.5292799383</v>
      </c>
      <c r="D814" s="14">
        <f t="shared" si="50"/>
        <v>881013.41260329483</v>
      </c>
      <c r="E814" s="14">
        <f t="shared" si="51"/>
        <v>47992.948546919404</v>
      </c>
      <c r="F814" s="14">
        <f t="shared" si="48"/>
        <v>69589.775393136952</v>
      </c>
      <c r="H814" s="14" cm="1">
        <f t="array" ref="H814:K814">MMULT($C813:$F813,P_Matrix)</f>
        <v>989991.68650298857</v>
      </c>
      <c r="I814" s="14">
        <v>860136.47998460208</v>
      </c>
      <c r="J814" s="14">
        <v>47992.948546919404</v>
      </c>
      <c r="K814" s="14">
        <v>139179.55078618065</v>
      </c>
      <c r="M814" s="12">
        <f>MAX((Inputs!F$25*POWER(1+(Inputs!$C$3-(Inputs!$C$3*(('Steady State'!$A814-1)/Inputs!$C$4))),'Steady State'!$A814-1)),M813)</f>
        <v>48712.842776949758</v>
      </c>
      <c r="N814" s="12">
        <f>MAX((Inputs!G$25*POWER(1+(Inputs!$C$3-(Inputs!$C$3*(('Steady State'!$A814-1)/Inputs!$C$4))),'Steady State'!$A814-1)),N813)</f>
        <v>20876.932618692754</v>
      </c>
      <c r="O814" s="12">
        <v>0</v>
      </c>
      <c r="P814" s="12">
        <v>0</v>
      </c>
    </row>
    <row r="815" spans="1:16" x14ac:dyDescent="0.35">
      <c r="A815">
        <v>813</v>
      </c>
      <c r="C815" s="14">
        <f t="shared" si="49"/>
        <v>1038704.5292808166</v>
      </c>
      <c r="D815" s="14">
        <f t="shared" si="50"/>
        <v>881013.41260476748</v>
      </c>
      <c r="E815" s="14">
        <f t="shared" si="51"/>
        <v>47992.948546983971</v>
      </c>
      <c r="F815" s="14">
        <f t="shared" si="48"/>
        <v>69589.775393226824</v>
      </c>
      <c r="H815" s="14" cm="1">
        <f t="array" ref="H815:K815">MMULT($C814:$F814,P_Matrix)</f>
        <v>989991.6865038668</v>
      </c>
      <c r="I815" s="14">
        <v>860136.47998607473</v>
      </c>
      <c r="J815" s="14">
        <v>47992.948546983971</v>
      </c>
      <c r="K815" s="14">
        <v>139179.55078636378</v>
      </c>
      <c r="M815" s="12">
        <f>MAX((Inputs!F$25*POWER(1+(Inputs!$C$3-(Inputs!$C$3*(('Steady State'!$A815-1)/Inputs!$C$4))),'Steady State'!$A815-1)),M814)</f>
        <v>48712.842776949758</v>
      </c>
      <c r="N815" s="12">
        <f>MAX((Inputs!G$25*POWER(1+(Inputs!$C$3-(Inputs!$C$3*(('Steady State'!$A815-1)/Inputs!$C$4))),'Steady State'!$A815-1)),N814)</f>
        <v>20876.932618692754</v>
      </c>
      <c r="O815" s="12">
        <v>0</v>
      </c>
      <c r="P815" s="12">
        <v>0</v>
      </c>
    </row>
    <row r="816" spans="1:16" x14ac:dyDescent="0.35">
      <c r="A816">
        <v>814</v>
      </c>
      <c r="C816" s="14">
        <f t="shared" si="49"/>
        <v>1038704.5292816634</v>
      </c>
      <c r="D816" s="14">
        <f t="shared" si="50"/>
        <v>881013.4126061874</v>
      </c>
      <c r="E816" s="14">
        <f t="shared" si="51"/>
        <v>47992.948547046224</v>
      </c>
      <c r="F816" s="14">
        <f t="shared" si="48"/>
        <v>69589.775393313495</v>
      </c>
      <c r="H816" s="14" cm="1">
        <f t="array" ref="H816:K816">MMULT($C815:$F815,P_Matrix)</f>
        <v>989991.68650471361</v>
      </c>
      <c r="I816" s="14">
        <v>860136.47998749465</v>
      </c>
      <c r="J816" s="14">
        <v>47992.948547046224</v>
      </c>
      <c r="K816" s="14">
        <v>139179.55078654032</v>
      </c>
      <c r="M816" s="12">
        <f>MAX((Inputs!F$25*POWER(1+(Inputs!$C$3-(Inputs!$C$3*(('Steady State'!$A816-1)/Inputs!$C$4))),'Steady State'!$A816-1)),M815)</f>
        <v>48712.842776949758</v>
      </c>
      <c r="N816" s="12">
        <f>MAX((Inputs!G$25*POWER(1+(Inputs!$C$3-(Inputs!$C$3*(('Steady State'!$A816-1)/Inputs!$C$4))),'Steady State'!$A816-1)),N815)</f>
        <v>20876.932618692754</v>
      </c>
      <c r="O816" s="12">
        <v>0</v>
      </c>
      <c r="P816" s="12">
        <v>0</v>
      </c>
    </row>
    <row r="817" spans="1:16" x14ac:dyDescent="0.35">
      <c r="A817">
        <v>815</v>
      </c>
      <c r="C817" s="14">
        <f t="shared" si="49"/>
        <v>1038704.5292824798</v>
      </c>
      <c r="D817" s="14">
        <f t="shared" si="50"/>
        <v>881013.41260755633</v>
      </c>
      <c r="E817" s="14">
        <f t="shared" si="51"/>
        <v>47992.948547106236</v>
      </c>
      <c r="F817" s="14">
        <f t="shared" si="48"/>
        <v>69589.775393397082</v>
      </c>
      <c r="H817" s="14" cm="1">
        <f t="array" ref="H817:K817">MMULT($C816:$F816,P_Matrix)</f>
        <v>989991.68650553003</v>
      </c>
      <c r="I817" s="14">
        <v>860136.47998886358</v>
      </c>
      <c r="J817" s="14">
        <v>47992.948547106236</v>
      </c>
      <c r="K817" s="14">
        <v>139179.55078671058</v>
      </c>
      <c r="M817" s="12">
        <f>MAX((Inputs!F$25*POWER(1+(Inputs!$C$3-(Inputs!$C$3*(('Steady State'!$A817-1)/Inputs!$C$4))),'Steady State'!$A817-1)),M816)</f>
        <v>48712.842776949758</v>
      </c>
      <c r="N817" s="12">
        <f>MAX((Inputs!G$25*POWER(1+(Inputs!$C$3-(Inputs!$C$3*(('Steady State'!$A817-1)/Inputs!$C$4))),'Steady State'!$A817-1)),N816)</f>
        <v>20876.932618692754</v>
      </c>
      <c r="O817" s="12">
        <v>0</v>
      </c>
      <c r="P817" s="12">
        <v>0</v>
      </c>
    </row>
    <row r="818" spans="1:16" x14ac:dyDescent="0.35">
      <c r="A818">
        <v>816</v>
      </c>
      <c r="C818" s="14">
        <f t="shared" si="49"/>
        <v>1038704.5292832669</v>
      </c>
      <c r="D818" s="14">
        <f t="shared" si="50"/>
        <v>881013.41260887613</v>
      </c>
      <c r="E818" s="14">
        <f t="shared" si="51"/>
        <v>47992.948547164109</v>
      </c>
      <c r="F818" s="14">
        <f t="shared" si="48"/>
        <v>69589.775393477641</v>
      </c>
      <c r="H818" s="14" cm="1">
        <f t="array" ref="H818:K818">MMULT($C817:$F817,P_Matrix)</f>
        <v>989991.68650631711</v>
      </c>
      <c r="I818" s="14">
        <v>860136.47999018338</v>
      </c>
      <c r="J818" s="14">
        <v>47992.948547164109</v>
      </c>
      <c r="K818" s="14">
        <v>139179.55078687472</v>
      </c>
      <c r="M818" s="12">
        <f>MAX((Inputs!F$25*POWER(1+(Inputs!$C$3-(Inputs!$C$3*(('Steady State'!$A818-1)/Inputs!$C$4))),'Steady State'!$A818-1)),M817)</f>
        <v>48712.842776949758</v>
      </c>
      <c r="N818" s="12">
        <f>MAX((Inputs!G$25*POWER(1+(Inputs!$C$3-(Inputs!$C$3*(('Steady State'!$A818-1)/Inputs!$C$4))),'Steady State'!$A818-1)),N817)</f>
        <v>20876.932618692754</v>
      </c>
      <c r="O818" s="12">
        <v>0</v>
      </c>
      <c r="P818" s="12">
        <v>0</v>
      </c>
    </row>
    <row r="819" spans="1:16" x14ac:dyDescent="0.35">
      <c r="A819">
        <v>817</v>
      </c>
      <c r="C819" s="14">
        <f t="shared" si="49"/>
        <v>1038704.5292840258</v>
      </c>
      <c r="D819" s="14">
        <f t="shared" si="50"/>
        <v>881013.41261014855</v>
      </c>
      <c r="E819" s="14">
        <f t="shared" si="51"/>
        <v>47992.948547219894</v>
      </c>
      <c r="F819" s="14">
        <f t="shared" si="48"/>
        <v>69589.775393555319</v>
      </c>
      <c r="H819" s="14" cm="1">
        <f t="array" ref="H819:K819">MMULT($C818:$F818,P_Matrix)</f>
        <v>989991.68650707603</v>
      </c>
      <c r="I819" s="14">
        <v>860136.4799914558</v>
      </c>
      <c r="J819" s="14">
        <v>47992.948547219894</v>
      </c>
      <c r="K819" s="14">
        <v>139179.55078703296</v>
      </c>
      <c r="M819" s="12">
        <f>MAX((Inputs!F$25*POWER(1+(Inputs!$C$3-(Inputs!$C$3*(('Steady State'!$A819-1)/Inputs!$C$4))),'Steady State'!$A819-1)),M818)</f>
        <v>48712.842776949758</v>
      </c>
      <c r="N819" s="12">
        <f>MAX((Inputs!G$25*POWER(1+(Inputs!$C$3-(Inputs!$C$3*(('Steady State'!$A819-1)/Inputs!$C$4))),'Steady State'!$A819-1)),N818)</f>
        <v>20876.932618692754</v>
      </c>
      <c r="O819" s="12">
        <v>0</v>
      </c>
      <c r="P819" s="12">
        <v>0</v>
      </c>
    </row>
    <row r="820" spans="1:16" x14ac:dyDescent="0.35">
      <c r="A820">
        <v>818</v>
      </c>
      <c r="C820" s="14">
        <f t="shared" si="49"/>
        <v>1038704.5292847574</v>
      </c>
      <c r="D820" s="14">
        <f t="shared" si="50"/>
        <v>881013.41261137533</v>
      </c>
      <c r="E820" s="14">
        <f t="shared" si="51"/>
        <v>47992.948547273678</v>
      </c>
      <c r="F820" s="14">
        <f t="shared" si="48"/>
        <v>69589.775393630203</v>
      </c>
      <c r="H820" s="14" cm="1">
        <f t="array" ref="H820:K820">MMULT($C819:$F819,P_Matrix)</f>
        <v>989991.6865078077</v>
      </c>
      <c r="I820" s="14">
        <v>860136.47999268258</v>
      </c>
      <c r="J820" s="14">
        <v>47992.948547273678</v>
      </c>
      <c r="K820" s="14">
        <v>139179.55078718552</v>
      </c>
      <c r="M820" s="12">
        <f>MAX((Inputs!F$25*POWER(1+(Inputs!$C$3-(Inputs!$C$3*(('Steady State'!$A820-1)/Inputs!$C$4))),'Steady State'!$A820-1)),M819)</f>
        <v>48712.842776949758</v>
      </c>
      <c r="N820" s="12">
        <f>MAX((Inputs!G$25*POWER(1+(Inputs!$C$3-(Inputs!$C$3*(('Steady State'!$A820-1)/Inputs!$C$4))),'Steady State'!$A820-1)),N819)</f>
        <v>20876.932618692754</v>
      </c>
      <c r="O820" s="12">
        <v>0</v>
      </c>
      <c r="P820" s="12">
        <v>0</v>
      </c>
    </row>
    <row r="821" spans="1:16" x14ac:dyDescent="0.35">
      <c r="A821">
        <v>819</v>
      </c>
      <c r="C821" s="14">
        <f t="shared" si="49"/>
        <v>1038704.5292854628</v>
      </c>
      <c r="D821" s="14">
        <f t="shared" si="50"/>
        <v>881013.41261255811</v>
      </c>
      <c r="E821" s="14">
        <f t="shared" si="51"/>
        <v>47992.948547325534</v>
      </c>
      <c r="F821" s="14">
        <f t="shared" si="48"/>
        <v>69589.77539370241</v>
      </c>
      <c r="H821" s="14" cm="1">
        <f t="array" ref="H821:K821">MMULT($C820:$F820,P_Matrix)</f>
        <v>989991.68650851306</v>
      </c>
      <c r="I821" s="14">
        <v>860136.47999386536</v>
      </c>
      <c r="J821" s="14">
        <v>47992.948547325534</v>
      </c>
      <c r="K821" s="14">
        <v>139179.55078733261</v>
      </c>
      <c r="M821" s="12">
        <f>MAX((Inputs!F$25*POWER(1+(Inputs!$C$3-(Inputs!$C$3*(('Steady State'!$A821-1)/Inputs!$C$4))),'Steady State'!$A821-1)),M820)</f>
        <v>48712.842776949758</v>
      </c>
      <c r="N821" s="12">
        <f>MAX((Inputs!G$25*POWER(1+(Inputs!$C$3-(Inputs!$C$3*(('Steady State'!$A821-1)/Inputs!$C$4))),'Steady State'!$A821-1)),N820)</f>
        <v>20876.932618692754</v>
      </c>
      <c r="O821" s="12">
        <v>0</v>
      </c>
      <c r="P821" s="12">
        <v>0</v>
      </c>
    </row>
    <row r="822" spans="1:16" x14ac:dyDescent="0.35">
      <c r="A822">
        <v>820</v>
      </c>
      <c r="C822" s="14">
        <f t="shared" si="49"/>
        <v>1038704.5292861429</v>
      </c>
      <c r="D822" s="14">
        <f t="shared" si="50"/>
        <v>881013.4126136984</v>
      </c>
      <c r="E822" s="14">
        <f t="shared" si="51"/>
        <v>47992.948547375534</v>
      </c>
      <c r="F822" s="14">
        <f t="shared" si="48"/>
        <v>69589.775393771997</v>
      </c>
      <c r="H822" s="14" cm="1">
        <f t="array" ref="H822:K822">MMULT($C821:$F821,P_Matrix)</f>
        <v>989991.68650919315</v>
      </c>
      <c r="I822" s="14">
        <v>860136.47999500565</v>
      </c>
      <c r="J822" s="14">
        <v>47992.948547375534</v>
      </c>
      <c r="K822" s="14">
        <v>139179.55078747441</v>
      </c>
      <c r="M822" s="12">
        <f>MAX((Inputs!F$25*POWER(1+(Inputs!$C$3-(Inputs!$C$3*(('Steady State'!$A822-1)/Inputs!$C$4))),'Steady State'!$A822-1)),M821)</f>
        <v>48712.842776949758</v>
      </c>
      <c r="N822" s="12">
        <f>MAX((Inputs!G$25*POWER(1+(Inputs!$C$3-(Inputs!$C$3*(('Steady State'!$A822-1)/Inputs!$C$4))),'Steady State'!$A822-1)),N821)</f>
        <v>20876.932618692754</v>
      </c>
      <c r="O822" s="12">
        <v>0</v>
      </c>
      <c r="P822" s="12">
        <v>0</v>
      </c>
    </row>
    <row r="823" spans="1:16" x14ac:dyDescent="0.35">
      <c r="A823">
        <v>821</v>
      </c>
      <c r="C823" s="14">
        <f t="shared" si="49"/>
        <v>1038704.5292867987</v>
      </c>
      <c r="D823" s="14">
        <f t="shared" si="50"/>
        <v>881013.41261479782</v>
      </c>
      <c r="E823" s="14">
        <f t="shared" si="51"/>
        <v>47992.94854742373</v>
      </c>
      <c r="F823" s="14">
        <f t="shared" si="48"/>
        <v>69589.775393839111</v>
      </c>
      <c r="H823" s="14" cm="1">
        <f t="array" ref="H823:K823">MMULT($C822:$F822,P_Matrix)</f>
        <v>989991.68650984892</v>
      </c>
      <c r="I823" s="14">
        <v>860136.47999610507</v>
      </c>
      <c r="J823" s="14">
        <v>47992.94854742373</v>
      </c>
      <c r="K823" s="14">
        <v>139179.55078761111</v>
      </c>
      <c r="M823" s="12">
        <f>MAX((Inputs!F$25*POWER(1+(Inputs!$C$3-(Inputs!$C$3*(('Steady State'!$A823-1)/Inputs!$C$4))),'Steady State'!$A823-1)),M822)</f>
        <v>48712.842776949758</v>
      </c>
      <c r="N823" s="12">
        <f>MAX((Inputs!G$25*POWER(1+(Inputs!$C$3-(Inputs!$C$3*(('Steady State'!$A823-1)/Inputs!$C$4))),'Steady State'!$A823-1)),N822)</f>
        <v>20876.932618692754</v>
      </c>
      <c r="O823" s="12">
        <v>0</v>
      </c>
      <c r="P823" s="12">
        <v>0</v>
      </c>
    </row>
    <row r="824" spans="1:16" x14ac:dyDescent="0.35">
      <c r="A824">
        <v>822</v>
      </c>
      <c r="C824" s="14">
        <f t="shared" si="49"/>
        <v>1038704.5292874308</v>
      </c>
      <c r="D824" s="14">
        <f t="shared" si="50"/>
        <v>881013.4126158579</v>
      </c>
      <c r="E824" s="14">
        <f t="shared" si="51"/>
        <v>47992.948547470201</v>
      </c>
      <c r="F824" s="14">
        <f t="shared" si="48"/>
        <v>69589.775393903838</v>
      </c>
      <c r="H824" s="14" cm="1">
        <f t="array" ref="H824:K824">MMULT($C823:$F823,P_Matrix)</f>
        <v>989991.68651048106</v>
      </c>
      <c r="I824" s="14">
        <v>860136.47999716515</v>
      </c>
      <c r="J824" s="14">
        <v>47992.948547470201</v>
      </c>
      <c r="K824" s="14">
        <v>139179.55078774295</v>
      </c>
      <c r="M824" s="12">
        <f>MAX((Inputs!F$25*POWER(1+(Inputs!$C$3-(Inputs!$C$3*(('Steady State'!$A824-1)/Inputs!$C$4))),'Steady State'!$A824-1)),M823)</f>
        <v>48712.842776949758</v>
      </c>
      <c r="N824" s="12">
        <f>MAX((Inputs!G$25*POWER(1+(Inputs!$C$3-(Inputs!$C$3*(('Steady State'!$A824-1)/Inputs!$C$4))),'Steady State'!$A824-1)),N823)</f>
        <v>20876.932618692754</v>
      </c>
      <c r="O824" s="12">
        <v>0</v>
      </c>
      <c r="P824" s="12">
        <v>0</v>
      </c>
    </row>
    <row r="825" spans="1:16" x14ac:dyDescent="0.35">
      <c r="A825">
        <v>823</v>
      </c>
      <c r="C825" s="14">
        <f t="shared" si="49"/>
        <v>1038704.5292880402</v>
      </c>
      <c r="D825" s="14">
        <f t="shared" si="50"/>
        <v>881013.41261687991</v>
      </c>
      <c r="E825" s="14">
        <f t="shared" si="51"/>
        <v>47992.948547515007</v>
      </c>
      <c r="F825" s="14">
        <f t="shared" si="48"/>
        <v>69589.775393966207</v>
      </c>
      <c r="H825" s="14" cm="1">
        <f t="array" ref="H825:K825">MMULT($C824:$F824,P_Matrix)</f>
        <v>989991.68651109049</v>
      </c>
      <c r="I825" s="14">
        <v>860136.47999818716</v>
      </c>
      <c r="J825" s="14">
        <v>47992.948547515007</v>
      </c>
      <c r="K825" s="14">
        <v>139179.55078787004</v>
      </c>
      <c r="M825" s="12">
        <f>MAX((Inputs!F$25*POWER(1+(Inputs!$C$3-(Inputs!$C$3*(('Steady State'!$A825-1)/Inputs!$C$4))),'Steady State'!$A825-1)),M824)</f>
        <v>48712.842776949758</v>
      </c>
      <c r="N825" s="12">
        <f>MAX((Inputs!G$25*POWER(1+(Inputs!$C$3-(Inputs!$C$3*(('Steady State'!$A825-1)/Inputs!$C$4))),'Steady State'!$A825-1)),N824)</f>
        <v>20876.932618692754</v>
      </c>
      <c r="O825" s="12">
        <v>0</v>
      </c>
      <c r="P825" s="12">
        <v>0</v>
      </c>
    </row>
    <row r="826" spans="1:16" x14ac:dyDescent="0.35">
      <c r="A826">
        <v>824</v>
      </c>
      <c r="C826" s="14">
        <f t="shared" si="49"/>
        <v>1038704.5292886279</v>
      </c>
      <c r="D826" s="14">
        <f t="shared" si="50"/>
        <v>881013.41261786513</v>
      </c>
      <c r="E826" s="14">
        <f t="shared" si="51"/>
        <v>47992.948547558204</v>
      </c>
      <c r="F826" s="14">
        <f t="shared" si="48"/>
        <v>69589.775394026336</v>
      </c>
      <c r="H826" s="14" cm="1">
        <f t="array" ref="H826:K826">MMULT($C825:$F825,P_Matrix)</f>
        <v>989991.68651167816</v>
      </c>
      <c r="I826" s="14">
        <v>860136.47999917238</v>
      </c>
      <c r="J826" s="14">
        <v>47992.948547558204</v>
      </c>
      <c r="K826" s="14">
        <v>139179.55078799254</v>
      </c>
      <c r="M826" s="12">
        <f>MAX((Inputs!F$25*POWER(1+(Inputs!$C$3-(Inputs!$C$3*(('Steady State'!$A826-1)/Inputs!$C$4))),'Steady State'!$A826-1)),M825)</f>
        <v>48712.842776949758</v>
      </c>
      <c r="N826" s="12">
        <f>MAX((Inputs!G$25*POWER(1+(Inputs!$C$3-(Inputs!$C$3*(('Steady State'!$A826-1)/Inputs!$C$4))),'Steady State'!$A826-1)),N825)</f>
        <v>20876.932618692754</v>
      </c>
      <c r="O826" s="12">
        <v>0</v>
      </c>
      <c r="P826" s="12">
        <v>0</v>
      </c>
    </row>
    <row r="827" spans="1:16" x14ac:dyDescent="0.35">
      <c r="A827">
        <v>825</v>
      </c>
      <c r="C827" s="14">
        <f t="shared" si="49"/>
        <v>1038704.5292891945</v>
      </c>
      <c r="D827" s="14">
        <f t="shared" si="50"/>
        <v>881013.41261881497</v>
      </c>
      <c r="E827" s="14">
        <f t="shared" si="51"/>
        <v>47992.948547599852</v>
      </c>
      <c r="F827" s="14">
        <f t="shared" si="48"/>
        <v>69589.775394084339</v>
      </c>
      <c r="H827" s="14" cm="1">
        <f t="array" ref="H827:K827">MMULT($C826:$F826,P_Matrix)</f>
        <v>989991.68651224475</v>
      </c>
      <c r="I827" s="14">
        <v>860136.48000012222</v>
      </c>
      <c r="J827" s="14">
        <v>47992.948547599852</v>
      </c>
      <c r="K827" s="14">
        <v>139179.55078811068</v>
      </c>
      <c r="M827" s="12">
        <f>MAX((Inputs!F$25*POWER(1+(Inputs!$C$3-(Inputs!$C$3*(('Steady State'!$A827-1)/Inputs!$C$4))),'Steady State'!$A827-1)),M826)</f>
        <v>48712.842776949758</v>
      </c>
      <c r="N827" s="12">
        <f>MAX((Inputs!G$25*POWER(1+(Inputs!$C$3-(Inputs!$C$3*(('Steady State'!$A827-1)/Inputs!$C$4))),'Steady State'!$A827-1)),N826)</f>
        <v>20876.932618692754</v>
      </c>
      <c r="O827" s="12">
        <v>0</v>
      </c>
      <c r="P827" s="12">
        <v>0</v>
      </c>
    </row>
    <row r="828" spans="1:16" x14ac:dyDescent="0.35">
      <c r="A828">
        <v>826</v>
      </c>
      <c r="C828" s="14">
        <f t="shared" si="49"/>
        <v>1038704.5292897406</v>
      </c>
      <c r="D828" s="14">
        <f t="shared" si="50"/>
        <v>881013.41261973081</v>
      </c>
      <c r="E828" s="14">
        <f t="shared" si="51"/>
        <v>47992.94854764</v>
      </c>
      <c r="F828" s="14">
        <f t="shared" si="48"/>
        <v>69589.775394140248</v>
      </c>
      <c r="H828" s="14" cm="1">
        <f t="array" ref="H828:K828">MMULT($C827:$F827,P_Matrix)</f>
        <v>989991.68651279085</v>
      </c>
      <c r="I828" s="14">
        <v>860136.48000103806</v>
      </c>
      <c r="J828" s="14">
        <v>47992.94854764</v>
      </c>
      <c r="K828" s="14">
        <v>139179.55078822459</v>
      </c>
      <c r="M828" s="12">
        <f>MAX((Inputs!F$25*POWER(1+(Inputs!$C$3-(Inputs!$C$3*(('Steady State'!$A828-1)/Inputs!$C$4))),'Steady State'!$A828-1)),M827)</f>
        <v>48712.842776949758</v>
      </c>
      <c r="N828" s="12">
        <f>MAX((Inputs!G$25*POWER(1+(Inputs!$C$3-(Inputs!$C$3*(('Steady State'!$A828-1)/Inputs!$C$4))),'Steady State'!$A828-1)),N827)</f>
        <v>20876.932618692754</v>
      </c>
      <c r="O828" s="12">
        <v>0</v>
      </c>
      <c r="P828" s="12">
        <v>0</v>
      </c>
    </row>
    <row r="829" spans="1:16" x14ac:dyDescent="0.35">
      <c r="A829">
        <v>827</v>
      </c>
      <c r="C829" s="14">
        <f t="shared" si="49"/>
        <v>1038704.5292902671</v>
      </c>
      <c r="D829" s="14">
        <f t="shared" si="50"/>
        <v>881013.4126206137</v>
      </c>
      <c r="E829" s="14">
        <f t="shared" si="51"/>
        <v>47992.948547678716</v>
      </c>
      <c r="F829" s="14">
        <f t="shared" si="48"/>
        <v>69589.775394194148</v>
      </c>
      <c r="H829" s="14" cm="1">
        <f t="array" ref="H829:K829">MMULT($C828:$F828,P_Matrix)</f>
        <v>989991.6865133174</v>
      </c>
      <c r="I829" s="14">
        <v>860136.48000192095</v>
      </c>
      <c r="J829" s="14">
        <v>47992.948547678716</v>
      </c>
      <c r="K829" s="14">
        <v>139179.5507883344</v>
      </c>
      <c r="M829" s="12">
        <f>MAX((Inputs!F$25*POWER(1+(Inputs!$C$3-(Inputs!$C$3*(('Steady State'!$A829-1)/Inputs!$C$4))),'Steady State'!$A829-1)),M828)</f>
        <v>48712.842776949758</v>
      </c>
      <c r="N829" s="12">
        <f>MAX((Inputs!G$25*POWER(1+(Inputs!$C$3-(Inputs!$C$3*(('Steady State'!$A829-1)/Inputs!$C$4))),'Steady State'!$A829-1)),N828)</f>
        <v>20876.932618692754</v>
      </c>
      <c r="O829" s="12">
        <v>0</v>
      </c>
      <c r="P829" s="12">
        <v>0</v>
      </c>
    </row>
    <row r="830" spans="1:16" x14ac:dyDescent="0.35">
      <c r="A830">
        <v>828</v>
      </c>
      <c r="C830" s="14">
        <f t="shared" si="49"/>
        <v>1038704.5292907748</v>
      </c>
      <c r="D830" s="14">
        <f t="shared" si="50"/>
        <v>881013.41262146505</v>
      </c>
      <c r="E830" s="14">
        <f t="shared" si="51"/>
        <v>47992.948547716042</v>
      </c>
      <c r="F830" s="14">
        <f t="shared" si="48"/>
        <v>69589.775394246099</v>
      </c>
      <c r="H830" s="14" cm="1">
        <f t="array" ref="H830:K830">MMULT($C829:$F829,P_Matrix)</f>
        <v>989991.68651382509</v>
      </c>
      <c r="I830" s="14">
        <v>860136.4800027723</v>
      </c>
      <c r="J830" s="14">
        <v>47992.948547716042</v>
      </c>
      <c r="K830" s="14">
        <v>139179.55078844025</v>
      </c>
      <c r="M830" s="12">
        <f>MAX((Inputs!F$25*POWER(1+(Inputs!$C$3-(Inputs!$C$3*(('Steady State'!$A830-1)/Inputs!$C$4))),'Steady State'!$A830-1)),M829)</f>
        <v>48712.842776949758</v>
      </c>
      <c r="N830" s="12">
        <f>MAX((Inputs!G$25*POWER(1+(Inputs!$C$3-(Inputs!$C$3*(('Steady State'!$A830-1)/Inputs!$C$4))),'Steady State'!$A830-1)),N829)</f>
        <v>20876.932618692754</v>
      </c>
      <c r="O830" s="12">
        <v>0</v>
      </c>
      <c r="P830" s="12">
        <v>0</v>
      </c>
    </row>
    <row r="831" spans="1:16" x14ac:dyDescent="0.35">
      <c r="A831">
        <v>829</v>
      </c>
      <c r="C831" s="14">
        <f t="shared" si="49"/>
        <v>1038704.5292912642</v>
      </c>
      <c r="D831" s="14">
        <f t="shared" si="50"/>
        <v>881013.41262228577</v>
      </c>
      <c r="E831" s="14">
        <f t="shared" si="51"/>
        <v>47992.948547752021</v>
      </c>
      <c r="F831" s="14">
        <f t="shared" si="48"/>
        <v>69589.775394296215</v>
      </c>
      <c r="H831" s="14" cm="1">
        <f t="array" ref="H831:K831">MMULT($C830:$F830,P_Matrix)</f>
        <v>989991.6865143145</v>
      </c>
      <c r="I831" s="14">
        <v>860136.48000359302</v>
      </c>
      <c r="J831" s="14">
        <v>47992.948547752021</v>
      </c>
      <c r="K831" s="14">
        <v>139179.55078854231</v>
      </c>
      <c r="M831" s="12">
        <f>MAX((Inputs!F$25*POWER(1+(Inputs!$C$3-(Inputs!$C$3*(('Steady State'!$A831-1)/Inputs!$C$4))),'Steady State'!$A831-1)),M830)</f>
        <v>48712.842776949758</v>
      </c>
      <c r="N831" s="12">
        <f>MAX((Inputs!G$25*POWER(1+(Inputs!$C$3-(Inputs!$C$3*(('Steady State'!$A831-1)/Inputs!$C$4))),'Steady State'!$A831-1)),N830)</f>
        <v>20876.932618692754</v>
      </c>
      <c r="O831" s="12">
        <v>0</v>
      </c>
      <c r="P831" s="12">
        <v>0</v>
      </c>
    </row>
    <row r="832" spans="1:16" x14ac:dyDescent="0.35">
      <c r="A832">
        <v>830</v>
      </c>
      <c r="C832" s="14">
        <f t="shared" si="49"/>
        <v>1038704.5292917361</v>
      </c>
      <c r="D832" s="14">
        <f t="shared" si="50"/>
        <v>881013.41262307717</v>
      </c>
      <c r="E832" s="14">
        <f t="shared" si="51"/>
        <v>47992.948547786713</v>
      </c>
      <c r="F832" s="14">
        <f t="shared" si="48"/>
        <v>69589.775394344499</v>
      </c>
      <c r="H832" s="14" cm="1">
        <f t="array" ref="H832:K832">MMULT($C831:$F831,P_Matrix)</f>
        <v>989991.68651478633</v>
      </c>
      <c r="I832" s="14">
        <v>860136.48000438442</v>
      </c>
      <c r="J832" s="14">
        <v>47992.948547786713</v>
      </c>
      <c r="K832" s="14">
        <v>139179.55078864071</v>
      </c>
      <c r="M832" s="12">
        <f>MAX((Inputs!F$25*POWER(1+(Inputs!$C$3-(Inputs!$C$3*(('Steady State'!$A832-1)/Inputs!$C$4))),'Steady State'!$A832-1)),M831)</f>
        <v>48712.842776949758</v>
      </c>
      <c r="N832" s="12">
        <f>MAX((Inputs!G$25*POWER(1+(Inputs!$C$3-(Inputs!$C$3*(('Steady State'!$A832-1)/Inputs!$C$4))),'Steady State'!$A832-1)),N831)</f>
        <v>20876.932618692754</v>
      </c>
      <c r="O832" s="12">
        <v>0</v>
      </c>
      <c r="P832" s="12">
        <v>0</v>
      </c>
    </row>
    <row r="833" spans="1:16" x14ac:dyDescent="0.35">
      <c r="A833">
        <v>831</v>
      </c>
      <c r="C833" s="14">
        <f t="shared" si="49"/>
        <v>1038704.529292191</v>
      </c>
      <c r="D833" s="14">
        <f t="shared" si="50"/>
        <v>881013.41262384003</v>
      </c>
      <c r="E833" s="14">
        <f t="shared" si="51"/>
        <v>47992.948547820153</v>
      </c>
      <c r="F833" s="14">
        <f t="shared" si="48"/>
        <v>69589.775394391065</v>
      </c>
      <c r="H833" s="14" cm="1">
        <f t="array" ref="H833:K833">MMULT($C832:$F832,P_Matrix)</f>
        <v>989991.68651524128</v>
      </c>
      <c r="I833" s="14">
        <v>860136.48000514728</v>
      </c>
      <c r="J833" s="14">
        <v>47992.948547820153</v>
      </c>
      <c r="K833" s="14">
        <v>139179.55078873556</v>
      </c>
      <c r="M833" s="12">
        <f>MAX((Inputs!F$25*POWER(1+(Inputs!$C$3-(Inputs!$C$3*(('Steady State'!$A833-1)/Inputs!$C$4))),'Steady State'!$A833-1)),M832)</f>
        <v>48712.842776949758</v>
      </c>
      <c r="N833" s="12">
        <f>MAX((Inputs!G$25*POWER(1+(Inputs!$C$3-(Inputs!$C$3*(('Steady State'!$A833-1)/Inputs!$C$4))),'Steady State'!$A833-1)),N832)</f>
        <v>20876.932618692754</v>
      </c>
      <c r="O833" s="12">
        <v>0</v>
      </c>
      <c r="P833" s="12">
        <v>0</v>
      </c>
    </row>
    <row r="834" spans="1:16" x14ac:dyDescent="0.35">
      <c r="A834">
        <v>832</v>
      </c>
      <c r="C834" s="14">
        <f t="shared" si="49"/>
        <v>1038704.5292926297</v>
      </c>
      <c r="D834" s="14">
        <f t="shared" si="50"/>
        <v>881013.41262457555</v>
      </c>
      <c r="E834" s="14">
        <f t="shared" si="51"/>
        <v>47992.9485478524</v>
      </c>
      <c r="F834" s="14">
        <f t="shared" si="48"/>
        <v>69589.775394435972</v>
      </c>
      <c r="H834" s="14" cm="1">
        <f t="array" ref="H834:K834">MMULT($C833:$F833,P_Matrix)</f>
        <v>989991.68651567993</v>
      </c>
      <c r="I834" s="14">
        <v>860136.4800058828</v>
      </c>
      <c r="J834" s="14">
        <v>47992.9485478524</v>
      </c>
      <c r="K834" s="14">
        <v>139179.55078882704</v>
      </c>
      <c r="M834" s="12">
        <f>MAX((Inputs!F$25*POWER(1+(Inputs!$C$3-(Inputs!$C$3*(('Steady State'!$A834-1)/Inputs!$C$4))),'Steady State'!$A834-1)),M833)</f>
        <v>48712.842776949758</v>
      </c>
      <c r="N834" s="12">
        <f>MAX((Inputs!G$25*POWER(1+(Inputs!$C$3-(Inputs!$C$3*(('Steady State'!$A834-1)/Inputs!$C$4))),'Steady State'!$A834-1)),N833)</f>
        <v>20876.932618692754</v>
      </c>
      <c r="O834" s="12">
        <v>0</v>
      </c>
      <c r="P834" s="12">
        <v>0</v>
      </c>
    </row>
    <row r="835" spans="1:16" x14ac:dyDescent="0.35">
      <c r="A835">
        <v>833</v>
      </c>
      <c r="C835" s="14">
        <f t="shared" si="49"/>
        <v>1038704.5292930525</v>
      </c>
      <c r="D835" s="14">
        <f t="shared" si="50"/>
        <v>881013.41262528475</v>
      </c>
      <c r="E835" s="14">
        <f t="shared" si="51"/>
        <v>47992.948547883498</v>
      </c>
      <c r="F835" s="14">
        <f t="shared" ref="F835:F898" si="52">(K835+P835)-F834</f>
        <v>69589.775394479249</v>
      </c>
      <c r="H835" s="14" cm="1">
        <f t="array" ref="H835:K835">MMULT($C834:$F834,P_Matrix)</f>
        <v>989991.68651610275</v>
      </c>
      <c r="I835" s="14">
        <v>860136.480006592</v>
      </c>
      <c r="J835" s="14">
        <v>47992.948547883498</v>
      </c>
      <c r="K835" s="14">
        <v>139179.55078891522</v>
      </c>
      <c r="M835" s="12">
        <f>MAX((Inputs!F$25*POWER(1+(Inputs!$C$3-(Inputs!$C$3*(('Steady State'!$A835-1)/Inputs!$C$4))),'Steady State'!$A835-1)),M834)</f>
        <v>48712.842776949758</v>
      </c>
      <c r="N835" s="12">
        <f>MAX((Inputs!G$25*POWER(1+(Inputs!$C$3-(Inputs!$C$3*(('Steady State'!$A835-1)/Inputs!$C$4))),'Steady State'!$A835-1)),N834)</f>
        <v>20876.932618692754</v>
      </c>
      <c r="O835" s="12">
        <v>0</v>
      </c>
      <c r="P835" s="12">
        <v>0</v>
      </c>
    </row>
    <row r="836" spans="1:16" x14ac:dyDescent="0.35">
      <c r="A836">
        <v>834</v>
      </c>
      <c r="C836" s="14">
        <f t="shared" ref="C836:C899" si="53">H836+M836</f>
        <v>1038704.5292934602</v>
      </c>
      <c r="D836" s="14">
        <f t="shared" ref="D836:D899" si="54">I836+N836</f>
        <v>881013.41262596846</v>
      </c>
      <c r="E836" s="14">
        <f t="shared" ref="E836:E899" si="55">J836+O836</f>
        <v>47992.948547913475</v>
      </c>
      <c r="F836" s="14">
        <f t="shared" si="52"/>
        <v>69589.775394520984</v>
      </c>
      <c r="H836" s="14" cm="1">
        <f t="array" ref="H836:K836">MMULT($C835:$F835,P_Matrix)</f>
        <v>989991.68651651044</v>
      </c>
      <c r="I836" s="14">
        <v>860136.48000727571</v>
      </c>
      <c r="J836" s="14">
        <v>47992.948547913475</v>
      </c>
      <c r="K836" s="14">
        <v>139179.55078900023</v>
      </c>
      <c r="M836" s="12">
        <f>MAX((Inputs!F$25*POWER(1+(Inputs!$C$3-(Inputs!$C$3*(('Steady State'!$A836-1)/Inputs!$C$4))),'Steady State'!$A836-1)),M835)</f>
        <v>48712.842776949758</v>
      </c>
      <c r="N836" s="12">
        <f>MAX((Inputs!G$25*POWER(1+(Inputs!$C$3-(Inputs!$C$3*(('Steady State'!$A836-1)/Inputs!$C$4))),'Steady State'!$A836-1)),N835)</f>
        <v>20876.932618692754</v>
      </c>
      <c r="O836" s="12">
        <v>0</v>
      </c>
      <c r="P836" s="12">
        <v>0</v>
      </c>
    </row>
    <row r="837" spans="1:16" x14ac:dyDescent="0.35">
      <c r="A837">
        <v>835</v>
      </c>
      <c r="C837" s="14">
        <f t="shared" si="53"/>
        <v>1038704.5292938533</v>
      </c>
      <c r="D837" s="14">
        <f t="shared" si="54"/>
        <v>881013.4126266276</v>
      </c>
      <c r="E837" s="14">
        <f t="shared" si="55"/>
        <v>47992.948547942375</v>
      </c>
      <c r="F837" s="14">
        <f t="shared" si="52"/>
        <v>69589.775394561206</v>
      </c>
      <c r="H837" s="14" cm="1">
        <f t="array" ref="H837:K837">MMULT($C836:$F836,P_Matrix)</f>
        <v>989991.68651690357</v>
      </c>
      <c r="I837" s="14">
        <v>860136.48000793485</v>
      </c>
      <c r="J837" s="14">
        <v>47992.948547942375</v>
      </c>
      <c r="K837" s="14">
        <v>139179.55078908219</v>
      </c>
      <c r="M837" s="12">
        <f>MAX((Inputs!F$25*POWER(1+(Inputs!$C$3-(Inputs!$C$3*(('Steady State'!$A837-1)/Inputs!$C$4))),'Steady State'!$A837-1)),M836)</f>
        <v>48712.842776949758</v>
      </c>
      <c r="N837" s="12">
        <f>MAX((Inputs!G$25*POWER(1+(Inputs!$C$3-(Inputs!$C$3*(('Steady State'!$A837-1)/Inputs!$C$4))),'Steady State'!$A837-1)),N836)</f>
        <v>20876.932618692754</v>
      </c>
      <c r="O837" s="12">
        <v>0</v>
      </c>
      <c r="P837" s="12">
        <v>0</v>
      </c>
    </row>
    <row r="838" spans="1:16" x14ac:dyDescent="0.35">
      <c r="A838">
        <v>836</v>
      </c>
      <c r="C838" s="14">
        <f t="shared" si="53"/>
        <v>1038704.5292942324</v>
      </c>
      <c r="D838" s="14">
        <f t="shared" si="54"/>
        <v>881013.41262726311</v>
      </c>
      <c r="E838" s="14">
        <f t="shared" si="55"/>
        <v>47992.948547970234</v>
      </c>
      <c r="F838" s="14">
        <f t="shared" si="52"/>
        <v>69589.77539460003</v>
      </c>
      <c r="H838" s="14" cm="1">
        <f t="array" ref="H838:K838">MMULT($C837:$F837,P_Matrix)</f>
        <v>989991.68651728262</v>
      </c>
      <c r="I838" s="14">
        <v>860136.48000857036</v>
      </c>
      <c r="J838" s="14">
        <v>47992.948547970234</v>
      </c>
      <c r="K838" s="14">
        <v>139179.55078916124</v>
      </c>
      <c r="M838" s="12">
        <f>MAX((Inputs!F$25*POWER(1+(Inputs!$C$3-(Inputs!$C$3*(('Steady State'!$A838-1)/Inputs!$C$4))),'Steady State'!$A838-1)),M837)</f>
        <v>48712.842776949758</v>
      </c>
      <c r="N838" s="12">
        <f>MAX((Inputs!G$25*POWER(1+(Inputs!$C$3-(Inputs!$C$3*(('Steady State'!$A838-1)/Inputs!$C$4))),'Steady State'!$A838-1)),N837)</f>
        <v>20876.932618692754</v>
      </c>
      <c r="O838" s="12">
        <v>0</v>
      </c>
      <c r="P838" s="12">
        <v>0</v>
      </c>
    </row>
    <row r="839" spans="1:16" x14ac:dyDescent="0.35">
      <c r="A839">
        <v>837</v>
      </c>
      <c r="C839" s="14">
        <f t="shared" si="53"/>
        <v>1038704.5292945978</v>
      </c>
      <c r="D839" s="14">
        <f t="shared" si="54"/>
        <v>881013.4126278758</v>
      </c>
      <c r="E839" s="14">
        <f t="shared" si="55"/>
        <v>47992.94854799709</v>
      </c>
      <c r="F839" s="14">
        <f t="shared" si="52"/>
        <v>69589.7753946374</v>
      </c>
      <c r="H839" s="14" cm="1">
        <f t="array" ref="H839:K839">MMULT($C838:$F838,P_Matrix)</f>
        <v>989991.68651764805</v>
      </c>
      <c r="I839" s="14">
        <v>860136.48000918305</v>
      </c>
      <c r="J839" s="14">
        <v>47992.94854799709</v>
      </c>
      <c r="K839" s="14">
        <v>139179.55078923743</v>
      </c>
      <c r="M839" s="12">
        <f>MAX((Inputs!F$25*POWER(1+(Inputs!$C$3-(Inputs!$C$3*(('Steady State'!$A839-1)/Inputs!$C$4))),'Steady State'!$A839-1)),M838)</f>
        <v>48712.842776949758</v>
      </c>
      <c r="N839" s="12">
        <f>MAX((Inputs!G$25*POWER(1+(Inputs!$C$3-(Inputs!$C$3*(('Steady State'!$A839-1)/Inputs!$C$4))),'Steady State'!$A839-1)),N838)</f>
        <v>20876.932618692754</v>
      </c>
      <c r="O839" s="12">
        <v>0</v>
      </c>
      <c r="P839" s="12">
        <v>0</v>
      </c>
    </row>
    <row r="840" spans="1:16" x14ac:dyDescent="0.35">
      <c r="A840">
        <v>838</v>
      </c>
      <c r="C840" s="14">
        <f t="shared" si="53"/>
        <v>1038704.5292949502</v>
      </c>
      <c r="D840" s="14">
        <f t="shared" si="54"/>
        <v>881013.41262846661</v>
      </c>
      <c r="E840" s="14">
        <f t="shared" si="55"/>
        <v>47992.948548022992</v>
      </c>
      <c r="F840" s="14">
        <f t="shared" si="52"/>
        <v>69589.775394673488</v>
      </c>
      <c r="H840" s="14" cm="1">
        <f t="array" ref="H840:K840">MMULT($C839:$F839,P_Matrix)</f>
        <v>989991.68651800044</v>
      </c>
      <c r="I840" s="14">
        <v>860136.48000977386</v>
      </c>
      <c r="J840" s="14">
        <v>47992.948548022992</v>
      </c>
      <c r="K840" s="14">
        <v>139179.55078931089</v>
      </c>
      <c r="M840" s="12">
        <f>MAX((Inputs!F$25*POWER(1+(Inputs!$C$3-(Inputs!$C$3*(('Steady State'!$A840-1)/Inputs!$C$4))),'Steady State'!$A840-1)),M839)</f>
        <v>48712.842776949758</v>
      </c>
      <c r="N840" s="12">
        <f>MAX((Inputs!G$25*POWER(1+(Inputs!$C$3-(Inputs!$C$3*(('Steady State'!$A840-1)/Inputs!$C$4))),'Steady State'!$A840-1)),N839)</f>
        <v>20876.932618692754</v>
      </c>
      <c r="O840" s="12">
        <v>0</v>
      </c>
      <c r="P840" s="12">
        <v>0</v>
      </c>
    </row>
    <row r="841" spans="1:16" x14ac:dyDescent="0.35">
      <c r="A841">
        <v>839</v>
      </c>
      <c r="C841" s="14">
        <f t="shared" si="53"/>
        <v>1038704.5292952898</v>
      </c>
      <c r="D841" s="14">
        <f t="shared" si="54"/>
        <v>881013.41262903612</v>
      </c>
      <c r="E841" s="14">
        <f t="shared" si="55"/>
        <v>47992.948548047963</v>
      </c>
      <c r="F841" s="14">
        <f t="shared" si="52"/>
        <v>69589.775394708238</v>
      </c>
      <c r="H841" s="14" cm="1">
        <f t="array" ref="H841:K841">MMULT($C840:$F840,P_Matrix)</f>
        <v>989991.68651834002</v>
      </c>
      <c r="I841" s="14">
        <v>860136.48001034337</v>
      </c>
      <c r="J841" s="14">
        <v>47992.948548047963</v>
      </c>
      <c r="K841" s="14">
        <v>139179.55078938173</v>
      </c>
      <c r="M841" s="12">
        <f>MAX((Inputs!F$25*POWER(1+(Inputs!$C$3-(Inputs!$C$3*(('Steady State'!$A841-1)/Inputs!$C$4))),'Steady State'!$A841-1)),M840)</f>
        <v>48712.842776949758</v>
      </c>
      <c r="N841" s="12">
        <f>MAX((Inputs!G$25*POWER(1+(Inputs!$C$3-(Inputs!$C$3*(('Steady State'!$A841-1)/Inputs!$C$4))),'Steady State'!$A841-1)),N840)</f>
        <v>20876.932618692754</v>
      </c>
      <c r="O841" s="12">
        <v>0</v>
      </c>
      <c r="P841" s="12">
        <v>0</v>
      </c>
    </row>
    <row r="842" spans="1:16" x14ac:dyDescent="0.35">
      <c r="A842">
        <v>840</v>
      </c>
      <c r="C842" s="14">
        <f t="shared" si="53"/>
        <v>1038704.5292956171</v>
      </c>
      <c r="D842" s="14">
        <f t="shared" si="54"/>
        <v>881013.41262958525</v>
      </c>
      <c r="E842" s="14">
        <f t="shared" si="55"/>
        <v>47992.948548072032</v>
      </c>
      <c r="F842" s="14">
        <f t="shared" si="52"/>
        <v>69589.775394741766</v>
      </c>
      <c r="H842" s="14" cm="1">
        <f t="array" ref="H842:K842">MMULT($C841:$F841,P_Matrix)</f>
        <v>989991.68651866738</v>
      </c>
      <c r="I842" s="14">
        <v>860136.4800108925</v>
      </c>
      <c r="J842" s="14">
        <v>47992.948548072032</v>
      </c>
      <c r="K842" s="14">
        <v>139179.55078945</v>
      </c>
      <c r="M842" s="12">
        <f>MAX((Inputs!F$25*POWER(1+(Inputs!$C$3-(Inputs!$C$3*(('Steady State'!$A842-1)/Inputs!$C$4))),'Steady State'!$A842-1)),M841)</f>
        <v>48712.842776949758</v>
      </c>
      <c r="N842" s="12">
        <f>MAX((Inputs!G$25*POWER(1+(Inputs!$C$3-(Inputs!$C$3*(('Steady State'!$A842-1)/Inputs!$C$4))),'Steady State'!$A842-1)),N841)</f>
        <v>20876.932618692754</v>
      </c>
      <c r="O842" s="12">
        <v>0</v>
      </c>
      <c r="P842" s="12">
        <v>0</v>
      </c>
    </row>
    <row r="843" spans="1:16" x14ac:dyDescent="0.35">
      <c r="A843">
        <v>841</v>
      </c>
      <c r="C843" s="14">
        <f t="shared" si="53"/>
        <v>1038704.5292959329</v>
      </c>
      <c r="D843" s="14">
        <f t="shared" si="54"/>
        <v>881013.41263011459</v>
      </c>
      <c r="E843" s="14">
        <f t="shared" si="55"/>
        <v>47992.948548095243</v>
      </c>
      <c r="F843" s="14">
        <f t="shared" si="52"/>
        <v>69589.775394774071</v>
      </c>
      <c r="H843" s="14" cm="1">
        <f t="array" ref="H843:K843">MMULT($C842:$F842,P_Matrix)</f>
        <v>989991.6865189831</v>
      </c>
      <c r="I843" s="14">
        <v>860136.48001142184</v>
      </c>
      <c r="J843" s="14">
        <v>47992.948548095243</v>
      </c>
      <c r="K843" s="14">
        <v>139179.55078951584</v>
      </c>
      <c r="M843" s="12">
        <f>MAX((Inputs!F$25*POWER(1+(Inputs!$C$3-(Inputs!$C$3*(('Steady State'!$A843-1)/Inputs!$C$4))),'Steady State'!$A843-1)),M842)</f>
        <v>48712.842776949758</v>
      </c>
      <c r="N843" s="12">
        <f>MAX((Inputs!G$25*POWER(1+(Inputs!$C$3-(Inputs!$C$3*(('Steady State'!$A843-1)/Inputs!$C$4))),'Steady State'!$A843-1)),N842)</f>
        <v>20876.932618692754</v>
      </c>
      <c r="O843" s="12">
        <v>0</v>
      </c>
      <c r="P843" s="12">
        <v>0</v>
      </c>
    </row>
    <row r="844" spans="1:16" x14ac:dyDescent="0.35">
      <c r="A844">
        <v>842</v>
      </c>
      <c r="C844" s="14">
        <f t="shared" si="53"/>
        <v>1038704.5292962373</v>
      </c>
      <c r="D844" s="14">
        <f t="shared" si="54"/>
        <v>881013.41263062495</v>
      </c>
      <c r="E844" s="14">
        <f t="shared" si="55"/>
        <v>47992.948548117616</v>
      </c>
      <c r="F844" s="14">
        <f t="shared" si="52"/>
        <v>69589.775394805212</v>
      </c>
      <c r="H844" s="14" cm="1">
        <f t="array" ref="H844:K844">MMULT($C843:$F843,P_Matrix)</f>
        <v>989991.68651928753</v>
      </c>
      <c r="I844" s="14">
        <v>860136.4800119322</v>
      </c>
      <c r="J844" s="14">
        <v>47992.948548117616</v>
      </c>
      <c r="K844" s="14">
        <v>139179.55078957928</v>
      </c>
      <c r="M844" s="12">
        <f>MAX((Inputs!F$25*POWER(1+(Inputs!$C$3-(Inputs!$C$3*(('Steady State'!$A844-1)/Inputs!$C$4))),'Steady State'!$A844-1)),M843)</f>
        <v>48712.842776949758</v>
      </c>
      <c r="N844" s="12">
        <f>MAX((Inputs!G$25*POWER(1+(Inputs!$C$3-(Inputs!$C$3*(('Steady State'!$A844-1)/Inputs!$C$4))),'Steady State'!$A844-1)),N843)</f>
        <v>20876.932618692754</v>
      </c>
      <c r="O844" s="12">
        <v>0</v>
      </c>
      <c r="P844" s="12">
        <v>0</v>
      </c>
    </row>
    <row r="845" spans="1:16" x14ac:dyDescent="0.35">
      <c r="A845">
        <v>843</v>
      </c>
      <c r="C845" s="14">
        <f t="shared" si="53"/>
        <v>1038704.5292965308</v>
      </c>
      <c r="D845" s="14">
        <f t="shared" si="54"/>
        <v>881013.41263111716</v>
      </c>
      <c r="E845" s="14">
        <f t="shared" si="55"/>
        <v>47992.948548139189</v>
      </c>
      <c r="F845" s="14">
        <f t="shared" si="52"/>
        <v>69589.775394835247</v>
      </c>
      <c r="H845" s="14" cm="1">
        <f t="array" ref="H845:K845">MMULT($C844:$F844,P_Matrix)</f>
        <v>989991.68651958101</v>
      </c>
      <c r="I845" s="14">
        <v>860136.48001242441</v>
      </c>
      <c r="J845" s="14">
        <v>47992.948548139189</v>
      </c>
      <c r="K845" s="14">
        <v>139179.55078964046</v>
      </c>
      <c r="M845" s="12">
        <f>MAX((Inputs!F$25*POWER(1+(Inputs!$C$3-(Inputs!$C$3*(('Steady State'!$A845-1)/Inputs!$C$4))),'Steady State'!$A845-1)),M844)</f>
        <v>48712.842776949758</v>
      </c>
      <c r="N845" s="12">
        <f>MAX((Inputs!G$25*POWER(1+(Inputs!$C$3-(Inputs!$C$3*(('Steady State'!$A845-1)/Inputs!$C$4))),'Steady State'!$A845-1)),N844)</f>
        <v>20876.932618692754</v>
      </c>
      <c r="O845" s="12">
        <v>0</v>
      </c>
      <c r="P845" s="12">
        <v>0</v>
      </c>
    </row>
    <row r="846" spans="1:16" x14ac:dyDescent="0.35">
      <c r="A846">
        <v>844</v>
      </c>
      <c r="C846" s="14">
        <f t="shared" si="53"/>
        <v>1038704.5292968138</v>
      </c>
      <c r="D846" s="14">
        <f t="shared" si="54"/>
        <v>881013.41263159167</v>
      </c>
      <c r="E846" s="14">
        <f t="shared" si="55"/>
        <v>47992.948548159991</v>
      </c>
      <c r="F846" s="14">
        <f t="shared" si="52"/>
        <v>69589.775394864235</v>
      </c>
      <c r="H846" s="14" cm="1">
        <f t="array" ref="H846:K846">MMULT($C845:$F845,P_Matrix)</f>
        <v>989991.68651986402</v>
      </c>
      <c r="I846" s="14">
        <v>860136.48001289892</v>
      </c>
      <c r="J846" s="14">
        <v>47992.948548159991</v>
      </c>
      <c r="K846" s="14">
        <v>139179.55078969948</v>
      </c>
      <c r="M846" s="12">
        <f>MAX((Inputs!F$25*POWER(1+(Inputs!$C$3-(Inputs!$C$3*(('Steady State'!$A846-1)/Inputs!$C$4))),'Steady State'!$A846-1)),M845)</f>
        <v>48712.842776949758</v>
      </c>
      <c r="N846" s="12">
        <f>MAX((Inputs!G$25*POWER(1+(Inputs!$C$3-(Inputs!$C$3*(('Steady State'!$A846-1)/Inputs!$C$4))),'Steady State'!$A846-1)),N845)</f>
        <v>20876.932618692754</v>
      </c>
      <c r="O846" s="12">
        <v>0</v>
      </c>
      <c r="P846" s="12">
        <v>0</v>
      </c>
    </row>
    <row r="847" spans="1:16" x14ac:dyDescent="0.35">
      <c r="A847">
        <v>845</v>
      </c>
      <c r="C847" s="14">
        <f t="shared" si="53"/>
        <v>1038704.5292970866</v>
      </c>
      <c r="D847" s="14">
        <f t="shared" si="54"/>
        <v>881013.41263204918</v>
      </c>
      <c r="E847" s="14">
        <f t="shared" si="55"/>
        <v>47992.948548180051</v>
      </c>
      <c r="F847" s="14">
        <f t="shared" si="52"/>
        <v>69589.775394892175</v>
      </c>
      <c r="H847" s="14" cm="1">
        <f t="array" ref="H847:K847">MMULT($C846:$F846,P_Matrix)</f>
        <v>989991.68652013689</v>
      </c>
      <c r="I847" s="14">
        <v>860136.48001335643</v>
      </c>
      <c r="J847" s="14">
        <v>47992.948548180051</v>
      </c>
      <c r="K847" s="14">
        <v>139179.55078975641</v>
      </c>
      <c r="M847" s="12">
        <f>MAX((Inputs!F$25*POWER(1+(Inputs!$C$3-(Inputs!$C$3*(('Steady State'!$A847-1)/Inputs!$C$4))),'Steady State'!$A847-1)),M846)</f>
        <v>48712.842776949758</v>
      </c>
      <c r="N847" s="12">
        <f>MAX((Inputs!G$25*POWER(1+(Inputs!$C$3-(Inputs!$C$3*(('Steady State'!$A847-1)/Inputs!$C$4))),'Steady State'!$A847-1)),N846)</f>
        <v>20876.932618692754</v>
      </c>
      <c r="O847" s="12">
        <v>0</v>
      </c>
      <c r="P847" s="12">
        <v>0</v>
      </c>
    </row>
    <row r="848" spans="1:16" x14ac:dyDescent="0.35">
      <c r="A848">
        <v>846</v>
      </c>
      <c r="C848" s="14">
        <f t="shared" si="53"/>
        <v>1038704.5292973496</v>
      </c>
      <c r="D848" s="14">
        <f t="shared" si="54"/>
        <v>881013.41263249004</v>
      </c>
      <c r="E848" s="14">
        <f t="shared" si="55"/>
        <v>47992.948548199391</v>
      </c>
      <c r="F848" s="14">
        <f t="shared" si="52"/>
        <v>69589.775394919066</v>
      </c>
      <c r="H848" s="14" cm="1">
        <f t="array" ref="H848:K848">MMULT($C847:$F847,P_Matrix)</f>
        <v>989991.68652039988</v>
      </c>
      <c r="I848" s="14">
        <v>860136.48001379729</v>
      </c>
      <c r="J848" s="14">
        <v>47992.948548199391</v>
      </c>
      <c r="K848" s="14">
        <v>139179.55078981124</v>
      </c>
      <c r="M848" s="12">
        <f>MAX((Inputs!F$25*POWER(1+(Inputs!$C$3-(Inputs!$C$3*(('Steady State'!$A848-1)/Inputs!$C$4))),'Steady State'!$A848-1)),M847)</f>
        <v>48712.842776949758</v>
      </c>
      <c r="N848" s="12">
        <f>MAX((Inputs!G$25*POWER(1+(Inputs!$C$3-(Inputs!$C$3*(('Steady State'!$A848-1)/Inputs!$C$4))),'Steady State'!$A848-1)),N847)</f>
        <v>20876.932618692754</v>
      </c>
      <c r="O848" s="12">
        <v>0</v>
      </c>
      <c r="P848" s="12">
        <v>0</v>
      </c>
    </row>
    <row r="849" spans="1:16" x14ac:dyDescent="0.35">
      <c r="A849">
        <v>847</v>
      </c>
      <c r="C849" s="14">
        <f t="shared" si="53"/>
        <v>1038704.5292976032</v>
      </c>
      <c r="D849" s="14">
        <f t="shared" si="54"/>
        <v>881013.41263291531</v>
      </c>
      <c r="E849" s="14">
        <f t="shared" si="55"/>
        <v>47992.948548218032</v>
      </c>
      <c r="F849" s="14">
        <f t="shared" si="52"/>
        <v>69589.775394945027</v>
      </c>
      <c r="H849" s="14" cm="1">
        <f t="array" ref="H849:K849">MMULT($C848:$F848,P_Matrix)</f>
        <v>989991.68652065343</v>
      </c>
      <c r="I849" s="14">
        <v>860136.48001422256</v>
      </c>
      <c r="J849" s="14">
        <v>47992.948548218032</v>
      </c>
      <c r="K849" s="14">
        <v>139179.55078986409</v>
      </c>
      <c r="M849" s="12">
        <f>MAX((Inputs!F$25*POWER(1+(Inputs!$C$3-(Inputs!$C$3*(('Steady State'!$A849-1)/Inputs!$C$4))),'Steady State'!$A849-1)),M848)</f>
        <v>48712.842776949758</v>
      </c>
      <c r="N849" s="12">
        <f>MAX((Inputs!G$25*POWER(1+(Inputs!$C$3-(Inputs!$C$3*(('Steady State'!$A849-1)/Inputs!$C$4))),'Steady State'!$A849-1)),N848)</f>
        <v>20876.932618692754</v>
      </c>
      <c r="O849" s="12">
        <v>0</v>
      </c>
      <c r="P849" s="12">
        <v>0</v>
      </c>
    </row>
    <row r="850" spans="1:16" x14ac:dyDescent="0.35">
      <c r="A850">
        <v>848</v>
      </c>
      <c r="C850" s="14">
        <f t="shared" si="53"/>
        <v>1038704.5292978475</v>
      </c>
      <c r="D850" s="14">
        <f t="shared" si="54"/>
        <v>881013.41263332521</v>
      </c>
      <c r="E850" s="14">
        <f t="shared" si="55"/>
        <v>47992.948548236003</v>
      </c>
      <c r="F850" s="14">
        <f t="shared" si="52"/>
        <v>69589.775394970056</v>
      </c>
      <c r="H850" s="14" cm="1">
        <f t="array" ref="H850:K850">MMULT($C849:$F849,P_Matrix)</f>
        <v>989991.68652089778</v>
      </c>
      <c r="I850" s="14">
        <v>860136.48001463246</v>
      </c>
      <c r="J850" s="14">
        <v>47992.948548236003</v>
      </c>
      <c r="K850" s="14">
        <v>139179.55078991508</v>
      </c>
      <c r="M850" s="12">
        <f>MAX((Inputs!F$25*POWER(1+(Inputs!$C$3-(Inputs!$C$3*(('Steady State'!$A850-1)/Inputs!$C$4))),'Steady State'!$A850-1)),M849)</f>
        <v>48712.842776949758</v>
      </c>
      <c r="N850" s="12">
        <f>MAX((Inputs!G$25*POWER(1+(Inputs!$C$3-(Inputs!$C$3*(('Steady State'!$A850-1)/Inputs!$C$4))),'Steady State'!$A850-1)),N849)</f>
        <v>20876.932618692754</v>
      </c>
      <c r="O850" s="12">
        <v>0</v>
      </c>
      <c r="P850" s="12">
        <v>0</v>
      </c>
    </row>
    <row r="851" spans="1:16" x14ac:dyDescent="0.35">
      <c r="A851">
        <v>849</v>
      </c>
      <c r="C851" s="14">
        <f t="shared" si="53"/>
        <v>1038704.5292980833</v>
      </c>
      <c r="D851" s="14">
        <f t="shared" si="54"/>
        <v>881013.41263372032</v>
      </c>
      <c r="E851" s="14">
        <f t="shared" si="55"/>
        <v>47992.948548253327</v>
      </c>
      <c r="F851" s="14">
        <f t="shared" si="52"/>
        <v>69589.775394994183</v>
      </c>
      <c r="H851" s="14" cm="1">
        <f t="array" ref="H851:K851">MMULT($C850:$F850,P_Matrix)</f>
        <v>989991.68652113352</v>
      </c>
      <c r="I851" s="14">
        <v>860136.48001502757</v>
      </c>
      <c r="J851" s="14">
        <v>47992.948548253327</v>
      </c>
      <c r="K851" s="14">
        <v>139179.55078996424</v>
      </c>
      <c r="M851" s="12">
        <f>MAX((Inputs!F$25*POWER(1+(Inputs!$C$3-(Inputs!$C$3*(('Steady State'!$A851-1)/Inputs!$C$4))),'Steady State'!$A851-1)),M850)</f>
        <v>48712.842776949758</v>
      </c>
      <c r="N851" s="12">
        <f>MAX((Inputs!G$25*POWER(1+(Inputs!$C$3-(Inputs!$C$3*(('Steady State'!$A851-1)/Inputs!$C$4))),'Steady State'!$A851-1)),N850)</f>
        <v>20876.932618692754</v>
      </c>
      <c r="O851" s="12">
        <v>0</v>
      </c>
      <c r="P851" s="12">
        <v>0</v>
      </c>
    </row>
    <row r="852" spans="1:16" x14ac:dyDescent="0.35">
      <c r="A852">
        <v>850</v>
      </c>
      <c r="C852" s="14">
        <f t="shared" si="53"/>
        <v>1038704.5292983106</v>
      </c>
      <c r="D852" s="14">
        <f t="shared" si="54"/>
        <v>881013.41263410135</v>
      </c>
      <c r="E852" s="14">
        <f t="shared" si="55"/>
        <v>47992.948548270033</v>
      </c>
      <c r="F852" s="14">
        <f t="shared" si="52"/>
        <v>69589.775395017437</v>
      </c>
      <c r="H852" s="14" cm="1">
        <f t="array" ref="H852:K852">MMULT($C851:$F851,P_Matrix)</f>
        <v>989991.68652136088</v>
      </c>
      <c r="I852" s="14">
        <v>860136.4800154086</v>
      </c>
      <c r="J852" s="14">
        <v>47992.948548270033</v>
      </c>
      <c r="K852" s="14">
        <v>139179.55079001162</v>
      </c>
      <c r="M852" s="12">
        <f>MAX((Inputs!F$25*POWER(1+(Inputs!$C$3-(Inputs!$C$3*(('Steady State'!$A852-1)/Inputs!$C$4))),'Steady State'!$A852-1)),M851)</f>
        <v>48712.842776949758</v>
      </c>
      <c r="N852" s="12">
        <f>MAX((Inputs!G$25*POWER(1+(Inputs!$C$3-(Inputs!$C$3*(('Steady State'!$A852-1)/Inputs!$C$4))),'Steady State'!$A852-1)),N851)</f>
        <v>20876.932618692754</v>
      </c>
      <c r="O852" s="12">
        <v>0</v>
      </c>
      <c r="P852" s="12">
        <v>0</v>
      </c>
    </row>
    <row r="853" spans="1:16" x14ac:dyDescent="0.35">
      <c r="A853">
        <v>851</v>
      </c>
      <c r="C853" s="14">
        <f t="shared" si="53"/>
        <v>1038704.5292985296</v>
      </c>
      <c r="D853" s="14">
        <f t="shared" si="54"/>
        <v>881013.41263446875</v>
      </c>
      <c r="E853" s="14">
        <f t="shared" si="55"/>
        <v>47992.948548286142</v>
      </c>
      <c r="F853" s="14">
        <f t="shared" si="52"/>
        <v>69589.775395039847</v>
      </c>
      <c r="H853" s="14" cm="1">
        <f t="array" ref="H853:K853">MMULT($C852:$F852,P_Matrix)</f>
        <v>989991.68652157986</v>
      </c>
      <c r="I853" s="14">
        <v>860136.480015776</v>
      </c>
      <c r="J853" s="14">
        <v>47992.948548286142</v>
      </c>
      <c r="K853" s="14">
        <v>139179.55079005728</v>
      </c>
      <c r="M853" s="12">
        <f>MAX((Inputs!F$25*POWER(1+(Inputs!$C$3-(Inputs!$C$3*(('Steady State'!$A853-1)/Inputs!$C$4))),'Steady State'!$A853-1)),M852)</f>
        <v>48712.842776949758</v>
      </c>
      <c r="N853" s="12">
        <f>MAX((Inputs!G$25*POWER(1+(Inputs!$C$3-(Inputs!$C$3*(('Steady State'!$A853-1)/Inputs!$C$4))),'Steady State'!$A853-1)),N852)</f>
        <v>20876.932618692754</v>
      </c>
      <c r="O853" s="12">
        <v>0</v>
      </c>
      <c r="P853" s="12">
        <v>0</v>
      </c>
    </row>
    <row r="854" spans="1:16" x14ac:dyDescent="0.35">
      <c r="A854">
        <v>852</v>
      </c>
      <c r="C854" s="14">
        <f t="shared" si="53"/>
        <v>1038704.5292987409</v>
      </c>
      <c r="D854" s="14">
        <f t="shared" si="54"/>
        <v>881013.41263482289</v>
      </c>
      <c r="E854" s="14">
        <f t="shared" si="55"/>
        <v>47992.948548301676</v>
      </c>
      <c r="F854" s="14">
        <f t="shared" si="52"/>
        <v>69589.775395061501</v>
      </c>
      <c r="H854" s="14" cm="1">
        <f t="array" ref="H854:K854">MMULT($C853:$F853,P_Matrix)</f>
        <v>989991.68652179115</v>
      </c>
      <c r="I854" s="14">
        <v>860136.48001613014</v>
      </c>
      <c r="J854" s="14">
        <v>47992.948548301676</v>
      </c>
      <c r="K854" s="14">
        <v>139179.55079010135</v>
      </c>
      <c r="M854" s="12">
        <f>MAX((Inputs!F$25*POWER(1+(Inputs!$C$3-(Inputs!$C$3*(('Steady State'!$A854-1)/Inputs!$C$4))),'Steady State'!$A854-1)),M853)</f>
        <v>48712.842776949758</v>
      </c>
      <c r="N854" s="12">
        <f>MAX((Inputs!G$25*POWER(1+(Inputs!$C$3-(Inputs!$C$3*(('Steady State'!$A854-1)/Inputs!$C$4))),'Steady State'!$A854-1)),N853)</f>
        <v>20876.932618692754</v>
      </c>
      <c r="O854" s="12">
        <v>0</v>
      </c>
      <c r="P854" s="12">
        <v>0</v>
      </c>
    </row>
    <row r="855" spans="1:16" x14ac:dyDescent="0.35">
      <c r="A855">
        <v>853</v>
      </c>
      <c r="C855" s="14">
        <f t="shared" si="53"/>
        <v>1038704.5292989445</v>
      </c>
      <c r="D855" s="14">
        <f t="shared" si="54"/>
        <v>881013.41263516445</v>
      </c>
      <c r="E855" s="14">
        <f t="shared" si="55"/>
        <v>47992.94854831665</v>
      </c>
      <c r="F855" s="14">
        <f t="shared" si="52"/>
        <v>69589.775395082339</v>
      </c>
      <c r="H855" s="14" cm="1">
        <f t="array" ref="H855:K855">MMULT($C854:$F854,P_Matrix)</f>
        <v>989991.68652199476</v>
      </c>
      <c r="I855" s="14">
        <v>860136.4800164717</v>
      </c>
      <c r="J855" s="14">
        <v>47992.94854831665</v>
      </c>
      <c r="K855" s="14">
        <v>139179.55079014384</v>
      </c>
      <c r="M855" s="12">
        <f>MAX((Inputs!F$25*POWER(1+(Inputs!$C$3-(Inputs!$C$3*(('Steady State'!$A855-1)/Inputs!$C$4))),'Steady State'!$A855-1)),M854)</f>
        <v>48712.842776949758</v>
      </c>
      <c r="N855" s="12">
        <f>MAX((Inputs!G$25*POWER(1+(Inputs!$C$3-(Inputs!$C$3*(('Steady State'!$A855-1)/Inputs!$C$4))),'Steady State'!$A855-1)),N854)</f>
        <v>20876.932618692754</v>
      </c>
      <c r="O855" s="12">
        <v>0</v>
      </c>
      <c r="P855" s="12">
        <v>0</v>
      </c>
    </row>
    <row r="856" spans="1:16" x14ac:dyDescent="0.35">
      <c r="A856">
        <v>854</v>
      </c>
      <c r="C856" s="14">
        <f t="shared" si="53"/>
        <v>1038704.5292991409</v>
      </c>
      <c r="D856" s="14">
        <f t="shared" si="54"/>
        <v>881013.41263549367</v>
      </c>
      <c r="E856" s="14">
        <f t="shared" si="55"/>
        <v>47992.948548331078</v>
      </c>
      <c r="F856" s="14">
        <f t="shared" si="52"/>
        <v>69589.775395102421</v>
      </c>
      <c r="H856" s="14" cm="1">
        <f t="array" ref="H856:K856">MMULT($C855:$F855,P_Matrix)</f>
        <v>989991.68652219116</v>
      </c>
      <c r="I856" s="14">
        <v>860136.48001680092</v>
      </c>
      <c r="J856" s="14">
        <v>47992.948548331078</v>
      </c>
      <c r="K856" s="14">
        <v>139179.55079018476</v>
      </c>
      <c r="M856" s="12">
        <f>MAX((Inputs!F$25*POWER(1+(Inputs!$C$3-(Inputs!$C$3*(('Steady State'!$A856-1)/Inputs!$C$4))),'Steady State'!$A856-1)),M855)</f>
        <v>48712.842776949758</v>
      </c>
      <c r="N856" s="12">
        <f>MAX((Inputs!G$25*POWER(1+(Inputs!$C$3-(Inputs!$C$3*(('Steady State'!$A856-1)/Inputs!$C$4))),'Steady State'!$A856-1)),N855)</f>
        <v>20876.932618692754</v>
      </c>
      <c r="O856" s="12">
        <v>0</v>
      </c>
      <c r="P856" s="12">
        <v>0</v>
      </c>
    </row>
    <row r="857" spans="1:16" x14ac:dyDescent="0.35">
      <c r="A857">
        <v>855</v>
      </c>
      <c r="C857" s="14">
        <f t="shared" si="53"/>
        <v>1038704.5292993302</v>
      </c>
      <c r="D857" s="14">
        <f t="shared" si="54"/>
        <v>881013.41263581102</v>
      </c>
      <c r="E857" s="14">
        <f t="shared" si="55"/>
        <v>47992.948548344997</v>
      </c>
      <c r="F857" s="14">
        <f t="shared" si="52"/>
        <v>69589.775395121804</v>
      </c>
      <c r="H857" s="14" cm="1">
        <f t="array" ref="H857:K857">MMULT($C856:$F856,P_Matrix)</f>
        <v>989991.68652238045</v>
      </c>
      <c r="I857" s="14">
        <v>860136.48001711827</v>
      </c>
      <c r="J857" s="14">
        <v>47992.948548344997</v>
      </c>
      <c r="K857" s="14">
        <v>139179.55079022422</v>
      </c>
      <c r="M857" s="12">
        <f>MAX((Inputs!F$25*POWER(1+(Inputs!$C$3-(Inputs!$C$3*(('Steady State'!$A857-1)/Inputs!$C$4))),'Steady State'!$A857-1)),M856)</f>
        <v>48712.842776949758</v>
      </c>
      <c r="N857" s="12">
        <f>MAX((Inputs!G$25*POWER(1+(Inputs!$C$3-(Inputs!$C$3*(('Steady State'!$A857-1)/Inputs!$C$4))),'Steady State'!$A857-1)),N856)</f>
        <v>20876.932618692754</v>
      </c>
      <c r="O857" s="12">
        <v>0</v>
      </c>
      <c r="P857" s="12">
        <v>0</v>
      </c>
    </row>
    <row r="858" spans="1:16" x14ac:dyDescent="0.35">
      <c r="A858">
        <v>856</v>
      </c>
      <c r="C858" s="14">
        <f t="shared" si="53"/>
        <v>1038704.5292995126</v>
      </c>
      <c r="D858" s="14">
        <f t="shared" si="54"/>
        <v>881013.41263611708</v>
      </c>
      <c r="E858" s="14">
        <f t="shared" si="55"/>
        <v>47992.948548358414</v>
      </c>
      <c r="F858" s="14">
        <f t="shared" si="52"/>
        <v>69589.775395140488</v>
      </c>
      <c r="H858" s="14" cm="1">
        <f t="array" ref="H858:K858">MMULT($C857:$F857,P_Matrix)</f>
        <v>989991.68652256287</v>
      </c>
      <c r="I858" s="14">
        <v>860136.48001742433</v>
      </c>
      <c r="J858" s="14">
        <v>47992.948548358414</v>
      </c>
      <c r="K858" s="14">
        <v>139179.55079026229</v>
      </c>
      <c r="M858" s="12">
        <f>MAX((Inputs!F$25*POWER(1+(Inputs!$C$3-(Inputs!$C$3*(('Steady State'!$A858-1)/Inputs!$C$4))),'Steady State'!$A858-1)),M857)</f>
        <v>48712.842776949758</v>
      </c>
      <c r="N858" s="12">
        <f>MAX((Inputs!G$25*POWER(1+(Inputs!$C$3-(Inputs!$C$3*(('Steady State'!$A858-1)/Inputs!$C$4))),'Steady State'!$A858-1)),N857)</f>
        <v>20876.932618692754</v>
      </c>
      <c r="O858" s="12">
        <v>0</v>
      </c>
      <c r="P858" s="12">
        <v>0</v>
      </c>
    </row>
    <row r="859" spans="1:16" x14ac:dyDescent="0.35">
      <c r="A859">
        <v>857</v>
      </c>
      <c r="C859" s="14">
        <f t="shared" si="53"/>
        <v>1038704.5292996886</v>
      </c>
      <c r="D859" s="14">
        <f t="shared" si="54"/>
        <v>881013.41263641207</v>
      </c>
      <c r="E859" s="14">
        <f t="shared" si="55"/>
        <v>47992.948548371343</v>
      </c>
      <c r="F859" s="14">
        <f t="shared" si="52"/>
        <v>69589.775395158475</v>
      </c>
      <c r="H859" s="14" cm="1">
        <f t="array" ref="H859:K859">MMULT($C858:$F858,P_Matrix)</f>
        <v>989991.68652273889</v>
      </c>
      <c r="I859" s="14">
        <v>860136.48001771932</v>
      </c>
      <c r="J859" s="14">
        <v>47992.948548371343</v>
      </c>
      <c r="K859" s="14">
        <v>139179.55079029896</v>
      </c>
      <c r="M859" s="12">
        <f>MAX((Inputs!F$25*POWER(1+(Inputs!$C$3-(Inputs!$C$3*(('Steady State'!$A859-1)/Inputs!$C$4))),'Steady State'!$A859-1)),M858)</f>
        <v>48712.842776949758</v>
      </c>
      <c r="N859" s="12">
        <f>MAX((Inputs!G$25*POWER(1+(Inputs!$C$3-(Inputs!$C$3*(('Steady State'!$A859-1)/Inputs!$C$4))),'Steady State'!$A859-1)),N858)</f>
        <v>20876.932618692754</v>
      </c>
      <c r="O859" s="12">
        <v>0</v>
      </c>
      <c r="P859" s="12">
        <v>0</v>
      </c>
    </row>
    <row r="860" spans="1:16" x14ac:dyDescent="0.35">
      <c r="A860">
        <v>858</v>
      </c>
      <c r="C860" s="14">
        <f t="shared" si="53"/>
        <v>1038704.5292998583</v>
      </c>
      <c r="D860" s="14">
        <f t="shared" si="54"/>
        <v>881013.41263669648</v>
      </c>
      <c r="E860" s="14">
        <f t="shared" si="55"/>
        <v>47992.948548383814</v>
      </c>
      <c r="F860" s="14">
        <f t="shared" si="52"/>
        <v>69589.77539517585</v>
      </c>
      <c r="H860" s="14" cm="1">
        <f t="array" ref="H860:K860">MMULT($C859:$F859,P_Matrix)</f>
        <v>989991.68652290851</v>
      </c>
      <c r="I860" s="14">
        <v>860136.48001800373</v>
      </c>
      <c r="J860" s="14">
        <v>47992.948548383814</v>
      </c>
      <c r="K860" s="14">
        <v>139179.55079033432</v>
      </c>
      <c r="M860" s="12">
        <f>MAX((Inputs!F$25*POWER(1+(Inputs!$C$3-(Inputs!$C$3*(('Steady State'!$A860-1)/Inputs!$C$4))),'Steady State'!$A860-1)),M859)</f>
        <v>48712.842776949758</v>
      </c>
      <c r="N860" s="12">
        <f>MAX((Inputs!G$25*POWER(1+(Inputs!$C$3-(Inputs!$C$3*(('Steady State'!$A860-1)/Inputs!$C$4))),'Steady State'!$A860-1)),N859)</f>
        <v>20876.932618692754</v>
      </c>
      <c r="O860" s="12">
        <v>0</v>
      </c>
      <c r="P860" s="12">
        <v>0</v>
      </c>
    </row>
    <row r="861" spans="1:16" x14ac:dyDescent="0.35">
      <c r="A861">
        <v>859</v>
      </c>
      <c r="C861" s="14">
        <f t="shared" si="53"/>
        <v>1038704.5293000218</v>
      </c>
      <c r="D861" s="14">
        <f t="shared" si="54"/>
        <v>881013.41263697075</v>
      </c>
      <c r="E861" s="14">
        <f t="shared" si="55"/>
        <v>47992.948548395834</v>
      </c>
      <c r="F861" s="14">
        <f t="shared" si="52"/>
        <v>69589.775395192613</v>
      </c>
      <c r="H861" s="14" cm="1">
        <f t="array" ref="H861:K861">MMULT($C860:$F860,P_Matrix)</f>
        <v>989991.68652307207</v>
      </c>
      <c r="I861" s="14">
        <v>860136.480018278</v>
      </c>
      <c r="J861" s="14">
        <v>47992.948548395834</v>
      </c>
      <c r="K861" s="14">
        <v>139179.55079036846</v>
      </c>
      <c r="M861" s="12">
        <f>MAX((Inputs!F$25*POWER(1+(Inputs!$C$3-(Inputs!$C$3*(('Steady State'!$A861-1)/Inputs!$C$4))),'Steady State'!$A861-1)),M860)</f>
        <v>48712.842776949758</v>
      </c>
      <c r="N861" s="12">
        <f>MAX((Inputs!G$25*POWER(1+(Inputs!$C$3-(Inputs!$C$3*(('Steady State'!$A861-1)/Inputs!$C$4))),'Steady State'!$A861-1)),N860)</f>
        <v>20876.932618692754</v>
      </c>
      <c r="O861" s="12">
        <v>0</v>
      </c>
      <c r="P861" s="12">
        <v>0</v>
      </c>
    </row>
    <row r="862" spans="1:16" x14ac:dyDescent="0.35">
      <c r="A862">
        <v>860</v>
      </c>
      <c r="C862" s="14">
        <f t="shared" si="53"/>
        <v>1038704.5293001794</v>
      </c>
      <c r="D862" s="14">
        <f t="shared" si="54"/>
        <v>881013.41263723513</v>
      </c>
      <c r="E862" s="14">
        <f t="shared" si="55"/>
        <v>47992.948548407425</v>
      </c>
      <c r="F862" s="14">
        <f t="shared" si="52"/>
        <v>69589.775395208737</v>
      </c>
      <c r="H862" s="14" cm="1">
        <f t="array" ref="H862:K862">MMULT($C861:$F861,P_Matrix)</f>
        <v>989991.6865232297</v>
      </c>
      <c r="I862" s="14">
        <v>860136.48001854238</v>
      </c>
      <c r="J862" s="14">
        <v>47992.948548407425</v>
      </c>
      <c r="K862" s="14">
        <v>139179.55079040135</v>
      </c>
      <c r="M862" s="12">
        <f>MAX((Inputs!F$25*POWER(1+(Inputs!$C$3-(Inputs!$C$3*(('Steady State'!$A862-1)/Inputs!$C$4))),'Steady State'!$A862-1)),M861)</f>
        <v>48712.842776949758</v>
      </c>
      <c r="N862" s="12">
        <f>MAX((Inputs!G$25*POWER(1+(Inputs!$C$3-(Inputs!$C$3*(('Steady State'!$A862-1)/Inputs!$C$4))),'Steady State'!$A862-1)),N861)</f>
        <v>20876.932618692754</v>
      </c>
      <c r="O862" s="12">
        <v>0</v>
      </c>
      <c r="P862" s="12">
        <v>0</v>
      </c>
    </row>
    <row r="863" spans="1:16" x14ac:dyDescent="0.35">
      <c r="A863">
        <v>861</v>
      </c>
      <c r="C863" s="14">
        <f t="shared" si="53"/>
        <v>1038704.5293003315</v>
      </c>
      <c r="D863" s="14">
        <f t="shared" si="54"/>
        <v>881013.41263749008</v>
      </c>
      <c r="E863" s="14">
        <f t="shared" si="55"/>
        <v>47992.948548418601</v>
      </c>
      <c r="F863" s="14">
        <f t="shared" si="52"/>
        <v>69589.775395224278</v>
      </c>
      <c r="H863" s="14" cm="1">
        <f t="array" ref="H863:K863">MMULT($C862:$F862,P_Matrix)</f>
        <v>989991.68652338174</v>
      </c>
      <c r="I863" s="14">
        <v>860136.48001879733</v>
      </c>
      <c r="J863" s="14">
        <v>47992.948548418601</v>
      </c>
      <c r="K863" s="14">
        <v>139179.55079043302</v>
      </c>
      <c r="M863" s="12">
        <f>MAX((Inputs!F$25*POWER(1+(Inputs!$C$3-(Inputs!$C$3*(('Steady State'!$A863-1)/Inputs!$C$4))),'Steady State'!$A863-1)),M862)</f>
        <v>48712.842776949758</v>
      </c>
      <c r="N863" s="12">
        <f>MAX((Inputs!G$25*POWER(1+(Inputs!$C$3-(Inputs!$C$3*(('Steady State'!$A863-1)/Inputs!$C$4))),'Steady State'!$A863-1)),N862)</f>
        <v>20876.932618692754</v>
      </c>
      <c r="O863" s="12">
        <v>0</v>
      </c>
      <c r="P863" s="12">
        <v>0</v>
      </c>
    </row>
    <row r="864" spans="1:16" x14ac:dyDescent="0.35">
      <c r="A864">
        <v>862</v>
      </c>
      <c r="C864" s="14">
        <f t="shared" si="53"/>
        <v>1038704.5293004781</v>
      </c>
      <c r="D864" s="14">
        <f t="shared" si="54"/>
        <v>881013.41263773583</v>
      </c>
      <c r="E864" s="14">
        <f t="shared" si="55"/>
        <v>47992.948548429384</v>
      </c>
      <c r="F864" s="14">
        <f t="shared" si="52"/>
        <v>69589.775395239296</v>
      </c>
      <c r="H864" s="14" cm="1">
        <f t="array" ref="H864:K864">MMULT($C863:$F863,P_Matrix)</f>
        <v>989991.6865235283</v>
      </c>
      <c r="I864" s="14">
        <v>860136.48001904308</v>
      </c>
      <c r="J864" s="14">
        <v>47992.948548429384</v>
      </c>
      <c r="K864" s="14">
        <v>139179.55079046357</v>
      </c>
      <c r="M864" s="12">
        <f>MAX((Inputs!F$25*POWER(1+(Inputs!$C$3-(Inputs!$C$3*(('Steady State'!$A864-1)/Inputs!$C$4))),'Steady State'!$A864-1)),M863)</f>
        <v>48712.842776949758</v>
      </c>
      <c r="N864" s="12">
        <f>MAX((Inputs!G$25*POWER(1+(Inputs!$C$3-(Inputs!$C$3*(('Steady State'!$A864-1)/Inputs!$C$4))),'Steady State'!$A864-1)),N863)</f>
        <v>20876.932618692754</v>
      </c>
      <c r="O864" s="12">
        <v>0</v>
      </c>
      <c r="P864" s="12">
        <v>0</v>
      </c>
    </row>
    <row r="865" spans="1:16" x14ac:dyDescent="0.35">
      <c r="A865">
        <v>863</v>
      </c>
      <c r="C865" s="14">
        <f t="shared" si="53"/>
        <v>1038704.5293006194</v>
      </c>
      <c r="D865" s="14">
        <f t="shared" si="54"/>
        <v>881013.41263797274</v>
      </c>
      <c r="E865" s="14">
        <f t="shared" si="55"/>
        <v>47992.948548439774</v>
      </c>
      <c r="F865" s="14">
        <f t="shared" si="52"/>
        <v>69589.775395253761</v>
      </c>
      <c r="H865" s="14" cm="1">
        <f t="array" ref="H865:K865">MMULT($C864:$F864,P_Matrix)</f>
        <v>989991.68652366963</v>
      </c>
      <c r="I865" s="14">
        <v>860136.48001927999</v>
      </c>
      <c r="J865" s="14">
        <v>47992.948548439774</v>
      </c>
      <c r="K865" s="14">
        <v>139179.55079049306</v>
      </c>
      <c r="M865" s="12">
        <f>MAX((Inputs!F$25*POWER(1+(Inputs!$C$3-(Inputs!$C$3*(('Steady State'!$A865-1)/Inputs!$C$4))),'Steady State'!$A865-1)),M864)</f>
        <v>48712.842776949758</v>
      </c>
      <c r="N865" s="12">
        <f>MAX((Inputs!G$25*POWER(1+(Inputs!$C$3-(Inputs!$C$3*(('Steady State'!$A865-1)/Inputs!$C$4))),'Steady State'!$A865-1)),N864)</f>
        <v>20876.932618692754</v>
      </c>
      <c r="O865" s="12">
        <v>0</v>
      </c>
      <c r="P865" s="12">
        <v>0</v>
      </c>
    </row>
    <row r="866" spans="1:16" x14ac:dyDescent="0.35">
      <c r="A866">
        <v>864</v>
      </c>
      <c r="C866" s="14">
        <f t="shared" si="53"/>
        <v>1038704.5293007556</v>
      </c>
      <c r="D866" s="14">
        <f t="shared" si="54"/>
        <v>881013.41263820115</v>
      </c>
      <c r="E866" s="14">
        <f t="shared" si="55"/>
        <v>47992.948548449785</v>
      </c>
      <c r="F866" s="14">
        <f t="shared" si="52"/>
        <v>69589.775395267701</v>
      </c>
      <c r="H866" s="14" cm="1">
        <f t="array" ref="H866:K866">MMULT($C865:$F865,P_Matrix)</f>
        <v>989991.68652380584</v>
      </c>
      <c r="I866" s="14">
        <v>860136.4800195084</v>
      </c>
      <c r="J866" s="14">
        <v>47992.948548449785</v>
      </c>
      <c r="K866" s="14">
        <v>139179.55079052146</v>
      </c>
      <c r="M866" s="12">
        <f>MAX((Inputs!F$25*POWER(1+(Inputs!$C$3-(Inputs!$C$3*(('Steady State'!$A866-1)/Inputs!$C$4))),'Steady State'!$A866-1)),M865)</f>
        <v>48712.842776949758</v>
      </c>
      <c r="N866" s="12">
        <f>MAX((Inputs!G$25*POWER(1+(Inputs!$C$3-(Inputs!$C$3*(('Steady State'!$A866-1)/Inputs!$C$4))),'Steady State'!$A866-1)),N865)</f>
        <v>20876.932618692754</v>
      </c>
      <c r="O866" s="12">
        <v>0</v>
      </c>
      <c r="P866" s="12">
        <v>0</v>
      </c>
    </row>
    <row r="867" spans="1:16" x14ac:dyDescent="0.35">
      <c r="A867">
        <v>865</v>
      </c>
      <c r="C867" s="14">
        <f t="shared" si="53"/>
        <v>1038704.5293008869</v>
      </c>
      <c r="D867" s="14">
        <f t="shared" si="54"/>
        <v>881013.4126384214</v>
      </c>
      <c r="E867" s="14">
        <f t="shared" si="55"/>
        <v>47992.948548459441</v>
      </c>
      <c r="F867" s="14">
        <f t="shared" si="52"/>
        <v>69589.775395281147</v>
      </c>
      <c r="H867" s="14" cm="1">
        <f t="array" ref="H867:K867">MMULT($C866:$F866,P_Matrix)</f>
        <v>989991.68652393715</v>
      </c>
      <c r="I867" s="14">
        <v>860136.48001972865</v>
      </c>
      <c r="J867" s="14">
        <v>47992.948548459441</v>
      </c>
      <c r="K867" s="14">
        <v>139179.55079054885</v>
      </c>
      <c r="M867" s="12">
        <f>MAX((Inputs!F$25*POWER(1+(Inputs!$C$3-(Inputs!$C$3*(('Steady State'!$A867-1)/Inputs!$C$4))),'Steady State'!$A867-1)),M866)</f>
        <v>48712.842776949758</v>
      </c>
      <c r="N867" s="12">
        <f>MAX((Inputs!G$25*POWER(1+(Inputs!$C$3-(Inputs!$C$3*(('Steady State'!$A867-1)/Inputs!$C$4))),'Steady State'!$A867-1)),N866)</f>
        <v>20876.932618692754</v>
      </c>
      <c r="O867" s="12">
        <v>0</v>
      </c>
      <c r="P867" s="12">
        <v>0</v>
      </c>
    </row>
    <row r="868" spans="1:16" x14ac:dyDescent="0.35">
      <c r="A868">
        <v>866</v>
      </c>
      <c r="C868" s="14">
        <f t="shared" si="53"/>
        <v>1038704.5293010136</v>
      </c>
      <c r="D868" s="14">
        <f t="shared" si="54"/>
        <v>881013.41263863363</v>
      </c>
      <c r="E868" s="14">
        <f t="shared" si="55"/>
        <v>47992.948548468747</v>
      </c>
      <c r="F868" s="14">
        <f t="shared" si="52"/>
        <v>69589.775395294128</v>
      </c>
      <c r="H868" s="14" cm="1">
        <f t="array" ref="H868:K868">MMULT($C867:$F867,P_Matrix)</f>
        <v>989991.68652406381</v>
      </c>
      <c r="I868" s="14">
        <v>860136.48001994088</v>
      </c>
      <c r="J868" s="14">
        <v>47992.948548468747</v>
      </c>
      <c r="K868" s="14">
        <v>139179.55079057527</v>
      </c>
      <c r="M868" s="12">
        <f>MAX((Inputs!F$25*POWER(1+(Inputs!$C$3-(Inputs!$C$3*(('Steady State'!$A868-1)/Inputs!$C$4))),'Steady State'!$A868-1)),M867)</f>
        <v>48712.842776949758</v>
      </c>
      <c r="N868" s="12">
        <f>MAX((Inputs!G$25*POWER(1+(Inputs!$C$3-(Inputs!$C$3*(('Steady State'!$A868-1)/Inputs!$C$4))),'Steady State'!$A868-1)),N867)</f>
        <v>20876.932618692754</v>
      </c>
      <c r="O868" s="12">
        <v>0</v>
      </c>
      <c r="P868" s="12">
        <v>0</v>
      </c>
    </row>
    <row r="869" spans="1:16" x14ac:dyDescent="0.35">
      <c r="A869">
        <v>867</v>
      </c>
      <c r="C869" s="14">
        <f t="shared" si="53"/>
        <v>1038704.5293011357</v>
      </c>
      <c r="D869" s="14">
        <f t="shared" si="54"/>
        <v>881013.41263883829</v>
      </c>
      <c r="E869" s="14">
        <f t="shared" si="55"/>
        <v>47992.948548477725</v>
      </c>
      <c r="F869" s="14">
        <f t="shared" si="52"/>
        <v>69589.775395306584</v>
      </c>
      <c r="H869" s="14" cm="1">
        <f t="array" ref="H869:K869">MMULT($C868:$F868,P_Matrix)</f>
        <v>989991.68652418593</v>
      </c>
      <c r="I869" s="14">
        <v>860136.48002014554</v>
      </c>
      <c r="J869" s="14">
        <v>47992.948548477725</v>
      </c>
      <c r="K869" s="14">
        <v>139179.55079060071</v>
      </c>
      <c r="M869" s="12">
        <f>MAX((Inputs!F$25*POWER(1+(Inputs!$C$3-(Inputs!$C$3*(('Steady State'!$A869-1)/Inputs!$C$4))),'Steady State'!$A869-1)),M868)</f>
        <v>48712.842776949758</v>
      </c>
      <c r="N869" s="12">
        <f>MAX((Inputs!G$25*POWER(1+(Inputs!$C$3-(Inputs!$C$3*(('Steady State'!$A869-1)/Inputs!$C$4))),'Steady State'!$A869-1)),N868)</f>
        <v>20876.932618692754</v>
      </c>
      <c r="O869" s="12">
        <v>0</v>
      </c>
      <c r="P869" s="12">
        <v>0</v>
      </c>
    </row>
    <row r="870" spans="1:16" x14ac:dyDescent="0.35">
      <c r="A870">
        <v>868</v>
      </c>
      <c r="C870" s="14">
        <f t="shared" si="53"/>
        <v>1038704.5293012534</v>
      </c>
      <c r="D870" s="14">
        <f t="shared" si="54"/>
        <v>881013.41263903561</v>
      </c>
      <c r="E870" s="14">
        <f t="shared" si="55"/>
        <v>47992.948548486376</v>
      </c>
      <c r="F870" s="14">
        <f t="shared" si="52"/>
        <v>69589.775395318633</v>
      </c>
      <c r="H870" s="14" cm="1">
        <f t="array" ref="H870:K870">MMULT($C869:$F869,P_Matrix)</f>
        <v>989991.68652430363</v>
      </c>
      <c r="I870" s="14">
        <v>860136.48002034286</v>
      </c>
      <c r="J870" s="14">
        <v>47992.948548486376</v>
      </c>
      <c r="K870" s="14">
        <v>139179.55079062522</v>
      </c>
      <c r="M870" s="12">
        <f>MAX((Inputs!F$25*POWER(1+(Inputs!$C$3-(Inputs!$C$3*(('Steady State'!$A870-1)/Inputs!$C$4))),'Steady State'!$A870-1)),M869)</f>
        <v>48712.842776949758</v>
      </c>
      <c r="N870" s="12">
        <f>MAX((Inputs!G$25*POWER(1+(Inputs!$C$3-(Inputs!$C$3*(('Steady State'!$A870-1)/Inputs!$C$4))),'Steady State'!$A870-1)),N869)</f>
        <v>20876.932618692754</v>
      </c>
      <c r="O870" s="12">
        <v>0</v>
      </c>
      <c r="P870" s="12">
        <v>0</v>
      </c>
    </row>
    <row r="871" spans="1:16" x14ac:dyDescent="0.35">
      <c r="A871">
        <v>869</v>
      </c>
      <c r="C871" s="14">
        <f t="shared" si="53"/>
        <v>1038704.5293013669</v>
      </c>
      <c r="D871" s="14">
        <f t="shared" si="54"/>
        <v>881013.41263922595</v>
      </c>
      <c r="E871" s="14">
        <f t="shared" si="55"/>
        <v>47992.948548494722</v>
      </c>
      <c r="F871" s="14">
        <f t="shared" si="52"/>
        <v>69589.775395330274</v>
      </c>
      <c r="H871" s="14" cm="1">
        <f t="array" ref="H871:K871">MMULT($C870:$F870,P_Matrix)</f>
        <v>989991.68652441713</v>
      </c>
      <c r="I871" s="14">
        <v>860136.4800205332</v>
      </c>
      <c r="J871" s="14">
        <v>47992.948548494722</v>
      </c>
      <c r="K871" s="14">
        <v>139179.55079064891</v>
      </c>
      <c r="M871" s="12">
        <f>MAX((Inputs!F$25*POWER(1+(Inputs!$C$3-(Inputs!$C$3*(('Steady State'!$A871-1)/Inputs!$C$4))),'Steady State'!$A871-1)),M870)</f>
        <v>48712.842776949758</v>
      </c>
      <c r="N871" s="12">
        <f>MAX((Inputs!G$25*POWER(1+(Inputs!$C$3-(Inputs!$C$3*(('Steady State'!$A871-1)/Inputs!$C$4))),'Steady State'!$A871-1)),N870)</f>
        <v>20876.932618692754</v>
      </c>
      <c r="O871" s="12">
        <v>0</v>
      </c>
      <c r="P871" s="12">
        <v>0</v>
      </c>
    </row>
    <row r="872" spans="1:16" x14ac:dyDescent="0.35">
      <c r="A872">
        <v>870</v>
      </c>
      <c r="C872" s="14">
        <f t="shared" si="53"/>
        <v>1038704.5293014763</v>
      </c>
      <c r="D872" s="14">
        <f t="shared" si="54"/>
        <v>881013.41263940954</v>
      </c>
      <c r="E872" s="14">
        <f t="shared" si="55"/>
        <v>47992.948548502762</v>
      </c>
      <c r="F872" s="14">
        <f t="shared" si="52"/>
        <v>69589.77539534145</v>
      </c>
      <c r="H872" s="14" cm="1">
        <f t="array" ref="H872:K872">MMULT($C871:$F871,P_Matrix)</f>
        <v>989991.68652452657</v>
      </c>
      <c r="I872" s="14">
        <v>860136.48002071679</v>
      </c>
      <c r="J872" s="14">
        <v>47992.948548502762</v>
      </c>
      <c r="K872" s="14">
        <v>139179.55079067172</v>
      </c>
      <c r="M872" s="12">
        <f>MAX((Inputs!F$25*POWER(1+(Inputs!$C$3-(Inputs!$C$3*(('Steady State'!$A872-1)/Inputs!$C$4))),'Steady State'!$A872-1)),M871)</f>
        <v>48712.842776949758</v>
      </c>
      <c r="N872" s="12">
        <f>MAX((Inputs!G$25*POWER(1+(Inputs!$C$3-(Inputs!$C$3*(('Steady State'!$A872-1)/Inputs!$C$4))),'Steady State'!$A872-1)),N871)</f>
        <v>20876.932618692754</v>
      </c>
      <c r="O872" s="12">
        <v>0</v>
      </c>
      <c r="P872" s="12">
        <v>0</v>
      </c>
    </row>
    <row r="873" spans="1:16" x14ac:dyDescent="0.35">
      <c r="A873">
        <v>871</v>
      </c>
      <c r="C873" s="14">
        <f t="shared" si="53"/>
        <v>1038704.5293015818</v>
      </c>
      <c r="D873" s="14">
        <f t="shared" si="54"/>
        <v>881013.41263958649</v>
      </c>
      <c r="E873" s="14">
        <f t="shared" si="55"/>
        <v>47992.948548510511</v>
      </c>
      <c r="F873" s="14">
        <f t="shared" si="52"/>
        <v>69589.775395352277</v>
      </c>
      <c r="H873" s="14" cm="1">
        <f t="array" ref="H873:K873">MMULT($C872:$F872,P_Matrix)</f>
        <v>989991.68652463204</v>
      </c>
      <c r="I873" s="14">
        <v>860136.48002089374</v>
      </c>
      <c r="J873" s="14">
        <v>47992.948548510511</v>
      </c>
      <c r="K873" s="14">
        <v>139179.55079069373</v>
      </c>
      <c r="M873" s="12">
        <f>MAX((Inputs!F$25*POWER(1+(Inputs!$C$3-(Inputs!$C$3*(('Steady State'!$A873-1)/Inputs!$C$4))),'Steady State'!$A873-1)),M872)</f>
        <v>48712.842776949758</v>
      </c>
      <c r="N873" s="12">
        <f>MAX((Inputs!G$25*POWER(1+(Inputs!$C$3-(Inputs!$C$3*(('Steady State'!$A873-1)/Inputs!$C$4))),'Steady State'!$A873-1)),N872)</f>
        <v>20876.932618692754</v>
      </c>
      <c r="O873" s="12">
        <v>0</v>
      </c>
      <c r="P873" s="12">
        <v>0</v>
      </c>
    </row>
    <row r="874" spans="1:16" x14ac:dyDescent="0.35">
      <c r="A874">
        <v>872</v>
      </c>
      <c r="C874" s="14">
        <f t="shared" si="53"/>
        <v>1038704.5293016835</v>
      </c>
      <c r="D874" s="14">
        <f t="shared" si="54"/>
        <v>881013.41263975704</v>
      </c>
      <c r="E874" s="14">
        <f t="shared" si="55"/>
        <v>47992.94854851799</v>
      </c>
      <c r="F874" s="14">
        <f t="shared" si="52"/>
        <v>69589.775395362667</v>
      </c>
      <c r="H874" s="14" cm="1">
        <f t="array" ref="H874:K874">MMULT($C873:$F873,P_Matrix)</f>
        <v>989991.68652473378</v>
      </c>
      <c r="I874" s="14">
        <v>860136.48002106429</v>
      </c>
      <c r="J874" s="14">
        <v>47992.94854851799</v>
      </c>
      <c r="K874" s="14">
        <v>139179.55079071494</v>
      </c>
      <c r="M874" s="12">
        <f>MAX((Inputs!F$25*POWER(1+(Inputs!$C$3-(Inputs!$C$3*(('Steady State'!$A874-1)/Inputs!$C$4))),'Steady State'!$A874-1)),M873)</f>
        <v>48712.842776949758</v>
      </c>
      <c r="N874" s="12">
        <f>MAX((Inputs!G$25*POWER(1+(Inputs!$C$3-(Inputs!$C$3*(('Steady State'!$A874-1)/Inputs!$C$4))),'Steady State'!$A874-1)),N873)</f>
        <v>20876.932618692754</v>
      </c>
      <c r="O874" s="12">
        <v>0</v>
      </c>
      <c r="P874" s="12">
        <v>0</v>
      </c>
    </row>
    <row r="875" spans="1:16" x14ac:dyDescent="0.35">
      <c r="A875">
        <v>873</v>
      </c>
      <c r="C875" s="14">
        <f t="shared" si="53"/>
        <v>1038704.5293017816</v>
      </c>
      <c r="D875" s="14">
        <f t="shared" si="54"/>
        <v>881013.41263992153</v>
      </c>
      <c r="E875" s="14">
        <f t="shared" si="55"/>
        <v>47992.948548525201</v>
      </c>
      <c r="F875" s="14">
        <f t="shared" si="52"/>
        <v>69589.775395372708</v>
      </c>
      <c r="H875" s="14" cm="1">
        <f t="array" ref="H875:K875">MMULT($C874:$F874,P_Matrix)</f>
        <v>989991.68652483181</v>
      </c>
      <c r="I875" s="14">
        <v>860136.48002122878</v>
      </c>
      <c r="J875" s="14">
        <v>47992.948548525201</v>
      </c>
      <c r="K875" s="14">
        <v>139179.55079073537</v>
      </c>
      <c r="M875" s="12">
        <f>MAX((Inputs!F$25*POWER(1+(Inputs!$C$3-(Inputs!$C$3*(('Steady State'!$A875-1)/Inputs!$C$4))),'Steady State'!$A875-1)),M874)</f>
        <v>48712.842776949758</v>
      </c>
      <c r="N875" s="12">
        <f>MAX((Inputs!G$25*POWER(1+(Inputs!$C$3-(Inputs!$C$3*(('Steady State'!$A875-1)/Inputs!$C$4))),'Steady State'!$A875-1)),N874)</f>
        <v>20876.932618692754</v>
      </c>
      <c r="O875" s="12">
        <v>0</v>
      </c>
      <c r="P875" s="12">
        <v>0</v>
      </c>
    </row>
    <row r="876" spans="1:16" x14ac:dyDescent="0.35">
      <c r="A876">
        <v>874</v>
      </c>
      <c r="C876" s="14">
        <f t="shared" si="53"/>
        <v>1038704.529301876</v>
      </c>
      <c r="D876" s="14">
        <f t="shared" si="54"/>
        <v>881013.41264008009</v>
      </c>
      <c r="E876" s="14">
        <f t="shared" si="55"/>
        <v>47992.948548532149</v>
      </c>
      <c r="F876" s="14">
        <f t="shared" si="52"/>
        <v>69589.775395382399</v>
      </c>
      <c r="H876" s="14" cm="1">
        <f t="array" ref="H876:K876">MMULT($C875:$F875,P_Matrix)</f>
        <v>989991.68652492622</v>
      </c>
      <c r="I876" s="14">
        <v>860136.48002138734</v>
      </c>
      <c r="J876" s="14">
        <v>47992.948548532149</v>
      </c>
      <c r="K876" s="14">
        <v>139179.55079075511</v>
      </c>
      <c r="M876" s="12">
        <f>MAX((Inputs!F$25*POWER(1+(Inputs!$C$3-(Inputs!$C$3*(('Steady State'!$A876-1)/Inputs!$C$4))),'Steady State'!$A876-1)),M875)</f>
        <v>48712.842776949758</v>
      </c>
      <c r="N876" s="12">
        <f>MAX((Inputs!G$25*POWER(1+(Inputs!$C$3-(Inputs!$C$3*(('Steady State'!$A876-1)/Inputs!$C$4))),'Steady State'!$A876-1)),N875)</f>
        <v>20876.932618692754</v>
      </c>
      <c r="O876" s="12">
        <v>0</v>
      </c>
      <c r="P876" s="12">
        <v>0</v>
      </c>
    </row>
    <row r="877" spans="1:16" x14ac:dyDescent="0.35">
      <c r="A877">
        <v>875</v>
      </c>
      <c r="C877" s="14">
        <f t="shared" si="53"/>
        <v>1038704.5293019671</v>
      </c>
      <c r="D877" s="14">
        <f t="shared" si="54"/>
        <v>881013.41264023294</v>
      </c>
      <c r="E877" s="14">
        <f t="shared" si="55"/>
        <v>47992.94854853885</v>
      </c>
      <c r="F877" s="14">
        <f t="shared" si="52"/>
        <v>69589.775395391713</v>
      </c>
      <c r="H877" s="14" cm="1">
        <f t="array" ref="H877:K877">MMULT($C876:$F876,P_Matrix)</f>
        <v>989991.68652501737</v>
      </c>
      <c r="I877" s="14">
        <v>860136.48002154019</v>
      </c>
      <c r="J877" s="14">
        <v>47992.94854853885</v>
      </c>
      <c r="K877" s="14">
        <v>139179.55079077411</v>
      </c>
      <c r="M877" s="12">
        <f>MAX((Inputs!F$25*POWER(1+(Inputs!$C$3-(Inputs!$C$3*(('Steady State'!$A877-1)/Inputs!$C$4))),'Steady State'!$A877-1)),M876)</f>
        <v>48712.842776949758</v>
      </c>
      <c r="N877" s="12">
        <f>MAX((Inputs!G$25*POWER(1+(Inputs!$C$3-(Inputs!$C$3*(('Steady State'!$A877-1)/Inputs!$C$4))),'Steady State'!$A877-1)),N876)</f>
        <v>20876.932618692754</v>
      </c>
      <c r="O877" s="12">
        <v>0</v>
      </c>
      <c r="P877" s="12">
        <v>0</v>
      </c>
    </row>
    <row r="878" spans="1:16" x14ac:dyDescent="0.35">
      <c r="A878">
        <v>876</v>
      </c>
      <c r="C878" s="14">
        <f t="shared" si="53"/>
        <v>1038704.529302055</v>
      </c>
      <c r="D878" s="14">
        <f t="shared" si="54"/>
        <v>881013.41264038032</v>
      </c>
      <c r="E878" s="14">
        <f t="shared" si="55"/>
        <v>47992.948548545311</v>
      </c>
      <c r="F878" s="14">
        <f t="shared" si="52"/>
        <v>69589.775395400706</v>
      </c>
      <c r="H878" s="14" cm="1">
        <f t="array" ref="H878:K878">MMULT($C877:$F877,P_Matrix)</f>
        <v>989991.68652510527</v>
      </c>
      <c r="I878" s="14">
        <v>860136.48002168757</v>
      </c>
      <c r="J878" s="14">
        <v>47992.948548545311</v>
      </c>
      <c r="K878" s="14">
        <v>139179.55079079242</v>
      </c>
      <c r="M878" s="12">
        <f>MAX((Inputs!F$25*POWER(1+(Inputs!$C$3-(Inputs!$C$3*(('Steady State'!$A878-1)/Inputs!$C$4))),'Steady State'!$A878-1)),M877)</f>
        <v>48712.842776949758</v>
      </c>
      <c r="N878" s="12">
        <f>MAX((Inputs!G$25*POWER(1+(Inputs!$C$3-(Inputs!$C$3*(('Steady State'!$A878-1)/Inputs!$C$4))),'Steady State'!$A878-1)),N877)</f>
        <v>20876.932618692754</v>
      </c>
      <c r="O878" s="12">
        <v>0</v>
      </c>
      <c r="P878" s="12">
        <v>0</v>
      </c>
    </row>
    <row r="879" spans="1:16" x14ac:dyDescent="0.35">
      <c r="A879">
        <v>877</v>
      </c>
      <c r="C879" s="14">
        <f t="shared" si="53"/>
        <v>1038704.5293021399</v>
      </c>
      <c r="D879" s="14">
        <f t="shared" si="54"/>
        <v>881013.41264052235</v>
      </c>
      <c r="E879" s="14">
        <f t="shared" si="55"/>
        <v>47992.948548551547</v>
      </c>
      <c r="F879" s="14">
        <f t="shared" si="52"/>
        <v>69589.775395409379</v>
      </c>
      <c r="H879" s="14" cm="1">
        <f t="array" ref="H879:K879">MMULT($C878:$F878,P_Matrix)</f>
        <v>989991.68652519013</v>
      </c>
      <c r="I879" s="14">
        <v>860136.4800218296</v>
      </c>
      <c r="J879" s="14">
        <v>47992.948548551547</v>
      </c>
      <c r="K879" s="14">
        <v>139179.55079081008</v>
      </c>
      <c r="M879" s="12">
        <f>MAX((Inputs!F$25*POWER(1+(Inputs!$C$3-(Inputs!$C$3*(('Steady State'!$A879-1)/Inputs!$C$4))),'Steady State'!$A879-1)),M878)</f>
        <v>48712.842776949758</v>
      </c>
      <c r="N879" s="12">
        <f>MAX((Inputs!G$25*POWER(1+(Inputs!$C$3-(Inputs!$C$3*(('Steady State'!$A879-1)/Inputs!$C$4))),'Steady State'!$A879-1)),N878)</f>
        <v>20876.932618692754</v>
      </c>
      <c r="O879" s="12">
        <v>0</v>
      </c>
      <c r="P879" s="12">
        <v>0</v>
      </c>
    </row>
    <row r="880" spans="1:16" x14ac:dyDescent="0.35">
      <c r="A880">
        <v>878</v>
      </c>
      <c r="C880" s="14">
        <f t="shared" si="53"/>
        <v>1038704.5293022216</v>
      </c>
      <c r="D880" s="14">
        <f t="shared" si="54"/>
        <v>881013.41264065937</v>
      </c>
      <c r="E880" s="14">
        <f t="shared" si="55"/>
        <v>47992.948548557557</v>
      </c>
      <c r="F880" s="14">
        <f t="shared" si="52"/>
        <v>69589.775395417761</v>
      </c>
      <c r="H880" s="14" cm="1">
        <f t="array" ref="H880:K880">MMULT($C879:$F879,P_Matrix)</f>
        <v>989991.68652527186</v>
      </c>
      <c r="I880" s="14">
        <v>860136.48002196662</v>
      </c>
      <c r="J880" s="14">
        <v>47992.948548557557</v>
      </c>
      <c r="K880" s="14">
        <v>139179.55079082714</v>
      </c>
      <c r="M880" s="12">
        <f>MAX((Inputs!F$25*POWER(1+(Inputs!$C$3-(Inputs!$C$3*(('Steady State'!$A880-1)/Inputs!$C$4))),'Steady State'!$A880-1)),M879)</f>
        <v>48712.842776949758</v>
      </c>
      <c r="N880" s="12">
        <f>MAX((Inputs!G$25*POWER(1+(Inputs!$C$3-(Inputs!$C$3*(('Steady State'!$A880-1)/Inputs!$C$4))),'Steady State'!$A880-1)),N879)</f>
        <v>20876.932618692754</v>
      </c>
      <c r="O880" s="12">
        <v>0</v>
      </c>
      <c r="P880" s="12">
        <v>0</v>
      </c>
    </row>
    <row r="881" spans="1:16" x14ac:dyDescent="0.35">
      <c r="A881">
        <v>879</v>
      </c>
      <c r="C881" s="14">
        <f t="shared" si="53"/>
        <v>1038704.5293023004</v>
      </c>
      <c r="D881" s="14">
        <f t="shared" si="54"/>
        <v>881013.4126407915</v>
      </c>
      <c r="E881" s="14">
        <f t="shared" si="55"/>
        <v>47992.948548563341</v>
      </c>
      <c r="F881" s="14">
        <f t="shared" si="52"/>
        <v>69589.775395425822</v>
      </c>
      <c r="H881" s="14" cm="1">
        <f t="array" ref="H881:K881">MMULT($C880:$F880,P_Matrix)</f>
        <v>989991.68652535067</v>
      </c>
      <c r="I881" s="14">
        <v>860136.48002209875</v>
      </c>
      <c r="J881" s="14">
        <v>47992.948548563341</v>
      </c>
      <c r="K881" s="14">
        <v>139179.55079084358</v>
      </c>
      <c r="M881" s="12">
        <f>MAX((Inputs!F$25*POWER(1+(Inputs!$C$3-(Inputs!$C$3*(('Steady State'!$A881-1)/Inputs!$C$4))),'Steady State'!$A881-1)),M880)</f>
        <v>48712.842776949758</v>
      </c>
      <c r="N881" s="12">
        <f>MAX((Inputs!G$25*POWER(1+(Inputs!$C$3-(Inputs!$C$3*(('Steady State'!$A881-1)/Inputs!$C$4))),'Steady State'!$A881-1)),N880)</f>
        <v>20876.932618692754</v>
      </c>
      <c r="O881" s="12">
        <v>0</v>
      </c>
      <c r="P881" s="12">
        <v>0</v>
      </c>
    </row>
    <row r="882" spans="1:16" x14ac:dyDescent="0.35">
      <c r="A882">
        <v>880</v>
      </c>
      <c r="C882" s="14">
        <f t="shared" si="53"/>
        <v>1038704.5293023763</v>
      </c>
      <c r="D882" s="14">
        <f t="shared" si="54"/>
        <v>881013.41264091874</v>
      </c>
      <c r="E882" s="14">
        <f t="shared" si="55"/>
        <v>47992.948548568922</v>
      </c>
      <c r="F882" s="14">
        <f t="shared" si="52"/>
        <v>69589.775395433593</v>
      </c>
      <c r="H882" s="14" cm="1">
        <f t="array" ref="H882:K882">MMULT($C881:$F881,P_Matrix)</f>
        <v>989991.68652542657</v>
      </c>
      <c r="I882" s="14">
        <v>860136.48002222599</v>
      </c>
      <c r="J882" s="14">
        <v>47992.948548568922</v>
      </c>
      <c r="K882" s="14">
        <v>139179.55079085942</v>
      </c>
      <c r="M882" s="12">
        <f>MAX((Inputs!F$25*POWER(1+(Inputs!$C$3-(Inputs!$C$3*(('Steady State'!$A882-1)/Inputs!$C$4))),'Steady State'!$A882-1)),M881)</f>
        <v>48712.842776949758</v>
      </c>
      <c r="N882" s="12">
        <f>MAX((Inputs!G$25*POWER(1+(Inputs!$C$3-(Inputs!$C$3*(('Steady State'!$A882-1)/Inputs!$C$4))),'Steady State'!$A882-1)),N881)</f>
        <v>20876.932618692754</v>
      </c>
      <c r="O882" s="12">
        <v>0</v>
      </c>
      <c r="P882" s="12">
        <v>0</v>
      </c>
    </row>
    <row r="883" spans="1:16" x14ac:dyDescent="0.35">
      <c r="A883">
        <v>881</v>
      </c>
      <c r="C883" s="14">
        <f t="shared" si="53"/>
        <v>1038704.5293024495</v>
      </c>
      <c r="D883" s="14">
        <f t="shared" si="54"/>
        <v>881013.41264104145</v>
      </c>
      <c r="E883" s="14">
        <f t="shared" si="55"/>
        <v>47992.948548574306</v>
      </c>
      <c r="F883" s="14">
        <f t="shared" si="52"/>
        <v>69589.775395441102</v>
      </c>
      <c r="H883" s="14" cm="1">
        <f t="array" ref="H883:K883">MMULT($C882:$F882,P_Matrix)</f>
        <v>989991.6865254998</v>
      </c>
      <c r="I883" s="14">
        <v>860136.4800223487</v>
      </c>
      <c r="J883" s="14">
        <v>47992.948548574306</v>
      </c>
      <c r="K883" s="14">
        <v>139179.55079087469</v>
      </c>
      <c r="M883" s="12">
        <f>MAX((Inputs!F$25*POWER(1+(Inputs!$C$3-(Inputs!$C$3*(('Steady State'!$A883-1)/Inputs!$C$4))),'Steady State'!$A883-1)),M882)</f>
        <v>48712.842776949758</v>
      </c>
      <c r="N883" s="12">
        <f>MAX((Inputs!G$25*POWER(1+(Inputs!$C$3-(Inputs!$C$3*(('Steady State'!$A883-1)/Inputs!$C$4))),'Steady State'!$A883-1)),N882)</f>
        <v>20876.932618692754</v>
      </c>
      <c r="O883" s="12">
        <v>0</v>
      </c>
      <c r="P883" s="12">
        <v>0</v>
      </c>
    </row>
    <row r="884" spans="1:16" x14ac:dyDescent="0.35">
      <c r="A884">
        <v>882</v>
      </c>
      <c r="C884" s="14">
        <f t="shared" si="53"/>
        <v>1038704.5293025201</v>
      </c>
      <c r="D884" s="14">
        <f t="shared" si="54"/>
        <v>881013.41264115984</v>
      </c>
      <c r="E884" s="14">
        <f t="shared" si="55"/>
        <v>47992.948548579494</v>
      </c>
      <c r="F884" s="14">
        <f t="shared" si="52"/>
        <v>69589.77539544832</v>
      </c>
      <c r="H884" s="14" cm="1">
        <f t="array" ref="H884:K884">MMULT($C883:$F883,P_Matrix)</f>
        <v>989991.68652557035</v>
      </c>
      <c r="I884" s="14">
        <v>860136.48002246709</v>
      </c>
      <c r="J884" s="14">
        <v>47992.948548579494</v>
      </c>
      <c r="K884" s="14">
        <v>139179.55079088942</v>
      </c>
      <c r="M884" s="12">
        <f>MAX((Inputs!F$25*POWER(1+(Inputs!$C$3-(Inputs!$C$3*(('Steady State'!$A884-1)/Inputs!$C$4))),'Steady State'!$A884-1)),M883)</f>
        <v>48712.842776949758</v>
      </c>
      <c r="N884" s="12">
        <f>MAX((Inputs!G$25*POWER(1+(Inputs!$C$3-(Inputs!$C$3*(('Steady State'!$A884-1)/Inputs!$C$4))),'Steady State'!$A884-1)),N883)</f>
        <v>20876.932618692754</v>
      </c>
      <c r="O884" s="12">
        <v>0</v>
      </c>
      <c r="P884" s="12">
        <v>0</v>
      </c>
    </row>
    <row r="885" spans="1:16" x14ac:dyDescent="0.35">
      <c r="A885">
        <v>883</v>
      </c>
      <c r="C885" s="14">
        <f t="shared" si="53"/>
        <v>1038704.5293025882</v>
      </c>
      <c r="D885" s="14">
        <f t="shared" si="54"/>
        <v>881013.41264127393</v>
      </c>
      <c r="E885" s="14">
        <f t="shared" si="55"/>
        <v>47992.948548584493</v>
      </c>
      <c r="F885" s="14">
        <f t="shared" si="52"/>
        <v>69589.775395455246</v>
      </c>
      <c r="H885" s="14" cm="1">
        <f t="array" ref="H885:K885">MMULT($C884:$F884,P_Matrix)</f>
        <v>989991.68652563845</v>
      </c>
      <c r="I885" s="14">
        <v>860136.48002258118</v>
      </c>
      <c r="J885" s="14">
        <v>47992.948548584493</v>
      </c>
      <c r="K885" s="14">
        <v>139179.55079090357</v>
      </c>
      <c r="M885" s="12">
        <f>MAX((Inputs!F$25*POWER(1+(Inputs!$C$3-(Inputs!$C$3*(('Steady State'!$A885-1)/Inputs!$C$4))),'Steady State'!$A885-1)),M884)</f>
        <v>48712.842776949758</v>
      </c>
      <c r="N885" s="12">
        <f>MAX((Inputs!G$25*POWER(1+(Inputs!$C$3-(Inputs!$C$3*(('Steady State'!$A885-1)/Inputs!$C$4))),'Steady State'!$A885-1)),N884)</f>
        <v>20876.932618692754</v>
      </c>
      <c r="O885" s="12">
        <v>0</v>
      </c>
      <c r="P885" s="12">
        <v>0</v>
      </c>
    </row>
    <row r="886" spans="1:16" x14ac:dyDescent="0.35">
      <c r="A886">
        <v>884</v>
      </c>
      <c r="C886" s="14">
        <f t="shared" si="53"/>
        <v>1038704.5293026537</v>
      </c>
      <c r="D886" s="14">
        <f t="shared" si="54"/>
        <v>881013.41264138394</v>
      </c>
      <c r="E886" s="14">
        <f t="shared" si="55"/>
        <v>47992.948548589316</v>
      </c>
      <c r="F886" s="14">
        <f t="shared" si="52"/>
        <v>69589.775395461998</v>
      </c>
      <c r="H886" s="14" cm="1">
        <f t="array" ref="H886:K886">MMULT($C885:$F885,P_Matrix)</f>
        <v>989991.68652570399</v>
      </c>
      <c r="I886" s="14">
        <v>860136.48002269119</v>
      </c>
      <c r="J886" s="14">
        <v>47992.948548589316</v>
      </c>
      <c r="K886" s="14">
        <v>139179.55079091724</v>
      </c>
      <c r="M886" s="12">
        <f>MAX((Inputs!F$25*POWER(1+(Inputs!$C$3-(Inputs!$C$3*(('Steady State'!$A886-1)/Inputs!$C$4))),'Steady State'!$A886-1)),M885)</f>
        <v>48712.842776949758</v>
      </c>
      <c r="N886" s="12">
        <f>MAX((Inputs!G$25*POWER(1+(Inputs!$C$3-(Inputs!$C$3*(('Steady State'!$A886-1)/Inputs!$C$4))),'Steady State'!$A886-1)),N885)</f>
        <v>20876.932618692754</v>
      </c>
      <c r="O886" s="12">
        <v>0</v>
      </c>
      <c r="P886" s="12">
        <v>0</v>
      </c>
    </row>
    <row r="887" spans="1:16" x14ac:dyDescent="0.35">
      <c r="A887">
        <v>885</v>
      </c>
      <c r="C887" s="14">
        <f t="shared" si="53"/>
        <v>1038704.529302717</v>
      </c>
      <c r="D887" s="14">
        <f t="shared" si="54"/>
        <v>881013.41264148999</v>
      </c>
      <c r="E887" s="14">
        <f t="shared" si="55"/>
        <v>47992.948548593966</v>
      </c>
      <c r="F887" s="14">
        <f t="shared" si="52"/>
        <v>69589.775395468459</v>
      </c>
      <c r="H887" s="14" cm="1">
        <f t="array" ref="H887:K887">MMULT($C886:$F886,P_Matrix)</f>
        <v>989991.6865257672</v>
      </c>
      <c r="I887" s="14">
        <v>860136.48002279724</v>
      </c>
      <c r="J887" s="14">
        <v>47992.948548593966</v>
      </c>
      <c r="K887" s="14">
        <v>139179.55079093046</v>
      </c>
      <c r="M887" s="12">
        <f>MAX((Inputs!F$25*POWER(1+(Inputs!$C$3-(Inputs!$C$3*(('Steady State'!$A887-1)/Inputs!$C$4))),'Steady State'!$A887-1)),M886)</f>
        <v>48712.842776949758</v>
      </c>
      <c r="N887" s="12">
        <f>MAX((Inputs!G$25*POWER(1+(Inputs!$C$3-(Inputs!$C$3*(('Steady State'!$A887-1)/Inputs!$C$4))),'Steady State'!$A887-1)),N886)</f>
        <v>20876.932618692754</v>
      </c>
      <c r="O887" s="12">
        <v>0</v>
      </c>
      <c r="P887" s="12">
        <v>0</v>
      </c>
    </row>
    <row r="888" spans="1:16" x14ac:dyDescent="0.35">
      <c r="A888">
        <v>886</v>
      </c>
      <c r="C888" s="14">
        <f t="shared" si="53"/>
        <v>1038704.5293027778</v>
      </c>
      <c r="D888" s="14">
        <f t="shared" si="54"/>
        <v>881013.41264159221</v>
      </c>
      <c r="E888" s="14">
        <f t="shared" si="55"/>
        <v>47992.948548598448</v>
      </c>
      <c r="F888" s="14">
        <f t="shared" si="52"/>
        <v>69589.775395474688</v>
      </c>
      <c r="H888" s="14" cm="1">
        <f t="array" ref="H888:K888">MMULT($C887:$F887,P_Matrix)</f>
        <v>989991.68652582809</v>
      </c>
      <c r="I888" s="14">
        <v>860136.48002289946</v>
      </c>
      <c r="J888" s="14">
        <v>47992.948548598448</v>
      </c>
      <c r="K888" s="14">
        <v>139179.55079094315</v>
      </c>
      <c r="M888" s="12">
        <f>MAX((Inputs!F$25*POWER(1+(Inputs!$C$3-(Inputs!$C$3*(('Steady State'!$A888-1)/Inputs!$C$4))),'Steady State'!$A888-1)),M887)</f>
        <v>48712.842776949758</v>
      </c>
      <c r="N888" s="12">
        <f>MAX((Inputs!G$25*POWER(1+(Inputs!$C$3-(Inputs!$C$3*(('Steady State'!$A888-1)/Inputs!$C$4))),'Steady State'!$A888-1)),N887)</f>
        <v>20876.932618692754</v>
      </c>
      <c r="O888" s="12">
        <v>0</v>
      </c>
      <c r="P888" s="12">
        <v>0</v>
      </c>
    </row>
    <row r="889" spans="1:16" x14ac:dyDescent="0.35">
      <c r="A889">
        <v>887</v>
      </c>
      <c r="C889" s="14">
        <f t="shared" si="53"/>
        <v>1038704.5293028366</v>
      </c>
      <c r="D889" s="14">
        <f t="shared" si="54"/>
        <v>881013.41264169081</v>
      </c>
      <c r="E889" s="14">
        <f t="shared" si="55"/>
        <v>47992.94854860277</v>
      </c>
      <c r="F889" s="14">
        <f t="shared" si="52"/>
        <v>69589.775395480712</v>
      </c>
      <c r="H889" s="14" cm="1">
        <f t="array" ref="H889:K889">MMULT($C888:$F888,P_Matrix)</f>
        <v>989991.68652588688</v>
      </c>
      <c r="I889" s="14">
        <v>860136.48002299806</v>
      </c>
      <c r="J889" s="14">
        <v>47992.94854860277</v>
      </c>
      <c r="K889" s="14">
        <v>139179.5507909554</v>
      </c>
      <c r="M889" s="12">
        <f>MAX((Inputs!F$25*POWER(1+(Inputs!$C$3-(Inputs!$C$3*(('Steady State'!$A889-1)/Inputs!$C$4))),'Steady State'!$A889-1)),M888)</f>
        <v>48712.842776949758</v>
      </c>
      <c r="N889" s="12">
        <f>MAX((Inputs!G$25*POWER(1+(Inputs!$C$3-(Inputs!$C$3*(('Steady State'!$A889-1)/Inputs!$C$4))),'Steady State'!$A889-1)),N888)</f>
        <v>20876.932618692754</v>
      </c>
      <c r="O889" s="12">
        <v>0</v>
      </c>
      <c r="P889" s="12">
        <v>0</v>
      </c>
    </row>
    <row r="890" spans="1:16" x14ac:dyDescent="0.35">
      <c r="A890">
        <v>888</v>
      </c>
      <c r="C890" s="14">
        <f t="shared" si="53"/>
        <v>1038704.5293028933</v>
      </c>
      <c r="D890" s="14">
        <f t="shared" si="54"/>
        <v>881013.41264178581</v>
      </c>
      <c r="E890" s="14">
        <f t="shared" si="55"/>
        <v>47992.948548606932</v>
      </c>
      <c r="F890" s="14">
        <f t="shared" si="52"/>
        <v>69589.775395486533</v>
      </c>
      <c r="H890" s="14" cm="1">
        <f t="array" ref="H890:K890">MMULT($C889:$F889,P_Matrix)</f>
        <v>989991.68652594357</v>
      </c>
      <c r="I890" s="14">
        <v>860136.48002309306</v>
      </c>
      <c r="J890" s="14">
        <v>47992.948548606932</v>
      </c>
      <c r="K890" s="14">
        <v>139179.55079096725</v>
      </c>
      <c r="M890" s="12">
        <f>MAX((Inputs!F$25*POWER(1+(Inputs!$C$3-(Inputs!$C$3*(('Steady State'!$A890-1)/Inputs!$C$4))),'Steady State'!$A890-1)),M889)</f>
        <v>48712.842776949758</v>
      </c>
      <c r="N890" s="12">
        <f>MAX((Inputs!G$25*POWER(1+(Inputs!$C$3-(Inputs!$C$3*(('Steady State'!$A890-1)/Inputs!$C$4))),'Steady State'!$A890-1)),N889)</f>
        <v>20876.932618692754</v>
      </c>
      <c r="O890" s="12">
        <v>0</v>
      </c>
      <c r="P890" s="12">
        <v>0</v>
      </c>
    </row>
    <row r="891" spans="1:16" x14ac:dyDescent="0.35">
      <c r="A891">
        <v>889</v>
      </c>
      <c r="C891" s="14">
        <f t="shared" si="53"/>
        <v>1038704.5293029478</v>
      </c>
      <c r="D891" s="14">
        <f t="shared" si="54"/>
        <v>881013.41264187742</v>
      </c>
      <c r="E891" s="14">
        <f t="shared" si="55"/>
        <v>47992.948548610948</v>
      </c>
      <c r="F891" s="14">
        <f t="shared" si="52"/>
        <v>69589.775395492121</v>
      </c>
      <c r="H891" s="14" cm="1">
        <f t="array" ref="H891:K891">MMULT($C890:$F890,P_Matrix)</f>
        <v>989991.68652599806</v>
      </c>
      <c r="I891" s="14">
        <v>860136.48002318467</v>
      </c>
      <c r="J891" s="14">
        <v>47992.948548610948</v>
      </c>
      <c r="K891" s="14">
        <v>139179.55079097865</v>
      </c>
      <c r="M891" s="12">
        <f>MAX((Inputs!F$25*POWER(1+(Inputs!$C$3-(Inputs!$C$3*(('Steady State'!$A891-1)/Inputs!$C$4))),'Steady State'!$A891-1)),M890)</f>
        <v>48712.842776949758</v>
      </c>
      <c r="N891" s="12">
        <f>MAX((Inputs!G$25*POWER(1+(Inputs!$C$3-(Inputs!$C$3*(('Steady State'!$A891-1)/Inputs!$C$4))),'Steady State'!$A891-1)),N890)</f>
        <v>20876.932618692754</v>
      </c>
      <c r="O891" s="12">
        <v>0</v>
      </c>
      <c r="P891" s="12">
        <v>0</v>
      </c>
    </row>
    <row r="892" spans="1:16" x14ac:dyDescent="0.35">
      <c r="A892">
        <v>890</v>
      </c>
      <c r="C892" s="14">
        <f t="shared" si="53"/>
        <v>1038704.5293030004</v>
      </c>
      <c r="D892" s="14">
        <f t="shared" si="54"/>
        <v>881013.41264196567</v>
      </c>
      <c r="E892" s="14">
        <f t="shared" si="55"/>
        <v>47992.948548614819</v>
      </c>
      <c r="F892" s="14">
        <f t="shared" si="52"/>
        <v>69589.775395497476</v>
      </c>
      <c r="H892" s="14" cm="1">
        <f t="array" ref="H892:K892">MMULT($C891:$F891,P_Matrix)</f>
        <v>989991.68652605067</v>
      </c>
      <c r="I892" s="14">
        <v>860136.48002327292</v>
      </c>
      <c r="J892" s="14">
        <v>47992.948548614819</v>
      </c>
      <c r="K892" s="14">
        <v>139179.5507909896</v>
      </c>
      <c r="M892" s="12">
        <f>MAX((Inputs!F$25*POWER(1+(Inputs!$C$3-(Inputs!$C$3*(('Steady State'!$A892-1)/Inputs!$C$4))),'Steady State'!$A892-1)),M891)</f>
        <v>48712.842776949758</v>
      </c>
      <c r="N892" s="12">
        <f>MAX((Inputs!G$25*POWER(1+(Inputs!$C$3-(Inputs!$C$3*(('Steady State'!$A892-1)/Inputs!$C$4))),'Steady State'!$A892-1)),N891)</f>
        <v>20876.932618692754</v>
      </c>
      <c r="O892" s="12">
        <v>0</v>
      </c>
      <c r="P892" s="12">
        <v>0</v>
      </c>
    </row>
    <row r="893" spans="1:16" x14ac:dyDescent="0.35">
      <c r="A893">
        <v>891</v>
      </c>
      <c r="C893" s="14">
        <f t="shared" si="53"/>
        <v>1038704.5293030512</v>
      </c>
      <c r="D893" s="14">
        <f t="shared" si="54"/>
        <v>881013.41264205077</v>
      </c>
      <c r="E893" s="14">
        <f t="shared" si="55"/>
        <v>47992.948548618551</v>
      </c>
      <c r="F893" s="14">
        <f t="shared" si="52"/>
        <v>69589.775395502686</v>
      </c>
      <c r="H893" s="14" cm="1">
        <f t="array" ref="H893:K893">MMULT($C892:$F892,P_Matrix)</f>
        <v>989991.68652610143</v>
      </c>
      <c r="I893" s="14">
        <v>860136.48002335802</v>
      </c>
      <c r="J893" s="14">
        <v>47992.948548618551</v>
      </c>
      <c r="K893" s="14">
        <v>139179.55079100016</v>
      </c>
      <c r="M893" s="12">
        <f>MAX((Inputs!F$25*POWER(1+(Inputs!$C$3-(Inputs!$C$3*(('Steady State'!$A893-1)/Inputs!$C$4))),'Steady State'!$A893-1)),M892)</f>
        <v>48712.842776949758</v>
      </c>
      <c r="N893" s="12">
        <f>MAX((Inputs!G$25*POWER(1+(Inputs!$C$3-(Inputs!$C$3*(('Steady State'!$A893-1)/Inputs!$C$4))),'Steady State'!$A893-1)),N892)</f>
        <v>20876.932618692754</v>
      </c>
      <c r="O893" s="12">
        <v>0</v>
      </c>
      <c r="P893" s="12">
        <v>0</v>
      </c>
    </row>
    <row r="894" spans="1:16" x14ac:dyDescent="0.35">
      <c r="A894">
        <v>892</v>
      </c>
      <c r="C894" s="14">
        <f t="shared" si="53"/>
        <v>1038704.5293031001</v>
      </c>
      <c r="D894" s="14">
        <f t="shared" si="54"/>
        <v>881013.41264213296</v>
      </c>
      <c r="E894" s="14">
        <f t="shared" si="55"/>
        <v>47992.948548622153</v>
      </c>
      <c r="F894" s="14">
        <f t="shared" si="52"/>
        <v>69589.775395507691</v>
      </c>
      <c r="H894" s="14" cm="1">
        <f t="array" ref="H894:K894">MMULT($C893:$F893,P_Matrix)</f>
        <v>989991.68652615033</v>
      </c>
      <c r="I894" s="14">
        <v>860136.48002344021</v>
      </c>
      <c r="J894" s="14">
        <v>47992.948548622153</v>
      </c>
      <c r="K894" s="14">
        <v>139179.55079101038</v>
      </c>
      <c r="M894" s="12">
        <f>MAX((Inputs!F$25*POWER(1+(Inputs!$C$3-(Inputs!$C$3*(('Steady State'!$A894-1)/Inputs!$C$4))),'Steady State'!$A894-1)),M893)</f>
        <v>48712.842776949758</v>
      </c>
      <c r="N894" s="12">
        <f>MAX((Inputs!G$25*POWER(1+(Inputs!$C$3-(Inputs!$C$3*(('Steady State'!$A894-1)/Inputs!$C$4))),'Steady State'!$A894-1)),N893)</f>
        <v>20876.932618692754</v>
      </c>
      <c r="O894" s="12">
        <v>0</v>
      </c>
      <c r="P894" s="12">
        <v>0</v>
      </c>
    </row>
    <row r="895" spans="1:16" x14ac:dyDescent="0.35">
      <c r="A895">
        <v>893</v>
      </c>
      <c r="C895" s="14">
        <f t="shared" si="53"/>
        <v>1038704.5293031473</v>
      </c>
      <c r="D895" s="14">
        <f t="shared" si="54"/>
        <v>881013.41264221212</v>
      </c>
      <c r="E895" s="14">
        <f t="shared" si="55"/>
        <v>47992.948548625624</v>
      </c>
      <c r="F895" s="14">
        <f t="shared" si="52"/>
        <v>69589.775395512523</v>
      </c>
      <c r="H895" s="14" cm="1">
        <f t="array" ref="H895:K895">MMULT($C894:$F894,P_Matrix)</f>
        <v>989991.68652619759</v>
      </c>
      <c r="I895" s="14">
        <v>860136.48002351937</v>
      </c>
      <c r="J895" s="14">
        <v>47992.948548625624</v>
      </c>
      <c r="K895" s="14">
        <v>139179.55079102021</v>
      </c>
      <c r="M895" s="12">
        <f>MAX((Inputs!F$25*POWER(1+(Inputs!$C$3-(Inputs!$C$3*(('Steady State'!$A895-1)/Inputs!$C$4))),'Steady State'!$A895-1)),M894)</f>
        <v>48712.842776949758</v>
      </c>
      <c r="N895" s="12">
        <f>MAX((Inputs!G$25*POWER(1+(Inputs!$C$3-(Inputs!$C$3*(('Steady State'!$A895-1)/Inputs!$C$4))),'Steady State'!$A895-1)),N894)</f>
        <v>20876.932618692754</v>
      </c>
      <c r="O895" s="12">
        <v>0</v>
      </c>
      <c r="P895" s="12">
        <v>0</v>
      </c>
    </row>
    <row r="896" spans="1:16" x14ac:dyDescent="0.35">
      <c r="A896">
        <v>894</v>
      </c>
      <c r="C896" s="14">
        <f t="shared" si="53"/>
        <v>1038704.529303193</v>
      </c>
      <c r="D896" s="14">
        <f t="shared" si="54"/>
        <v>881013.41264228849</v>
      </c>
      <c r="E896" s="14">
        <f t="shared" si="55"/>
        <v>47992.948548628963</v>
      </c>
      <c r="F896" s="14">
        <f t="shared" si="52"/>
        <v>69589.775395517179</v>
      </c>
      <c r="H896" s="14" cm="1">
        <f t="array" ref="H896:K896">MMULT($C895:$F895,P_Matrix)</f>
        <v>989991.68652624323</v>
      </c>
      <c r="I896" s="14">
        <v>860136.48002359574</v>
      </c>
      <c r="J896" s="14">
        <v>47992.948548628963</v>
      </c>
      <c r="K896" s="14">
        <v>139179.5507910297</v>
      </c>
      <c r="M896" s="12">
        <f>MAX((Inputs!F$25*POWER(1+(Inputs!$C$3-(Inputs!$C$3*(('Steady State'!$A896-1)/Inputs!$C$4))),'Steady State'!$A896-1)),M895)</f>
        <v>48712.842776949758</v>
      </c>
      <c r="N896" s="12">
        <f>MAX((Inputs!G$25*POWER(1+(Inputs!$C$3-(Inputs!$C$3*(('Steady State'!$A896-1)/Inputs!$C$4))),'Steady State'!$A896-1)),N895)</f>
        <v>20876.932618692754</v>
      </c>
      <c r="O896" s="12">
        <v>0</v>
      </c>
      <c r="P896" s="12">
        <v>0</v>
      </c>
    </row>
    <row r="897" spans="1:16" x14ac:dyDescent="0.35">
      <c r="A897">
        <v>895</v>
      </c>
      <c r="C897" s="14">
        <f t="shared" si="53"/>
        <v>1038704.5293032369</v>
      </c>
      <c r="D897" s="14">
        <f t="shared" si="54"/>
        <v>881013.41264236195</v>
      </c>
      <c r="E897" s="14">
        <f t="shared" si="55"/>
        <v>47992.948548632194</v>
      </c>
      <c r="F897" s="14">
        <f t="shared" si="52"/>
        <v>69589.775395521661</v>
      </c>
      <c r="H897" s="14" cm="1">
        <f t="array" ref="H897:K897">MMULT($C896:$F896,P_Matrix)</f>
        <v>989991.68652628711</v>
      </c>
      <c r="I897" s="14">
        <v>860136.4800236692</v>
      </c>
      <c r="J897" s="14">
        <v>47992.948548632194</v>
      </c>
      <c r="K897" s="14">
        <v>139179.55079103884</v>
      </c>
      <c r="M897" s="12">
        <f>MAX((Inputs!F$25*POWER(1+(Inputs!$C$3-(Inputs!$C$3*(('Steady State'!$A897-1)/Inputs!$C$4))),'Steady State'!$A897-1)),M896)</f>
        <v>48712.842776949758</v>
      </c>
      <c r="N897" s="12">
        <f>MAX((Inputs!G$25*POWER(1+(Inputs!$C$3-(Inputs!$C$3*(('Steady State'!$A897-1)/Inputs!$C$4))),'Steady State'!$A897-1)),N896)</f>
        <v>20876.932618692754</v>
      </c>
      <c r="O897" s="12">
        <v>0</v>
      </c>
      <c r="P897" s="12">
        <v>0</v>
      </c>
    </row>
    <row r="898" spans="1:16" x14ac:dyDescent="0.35">
      <c r="A898">
        <v>896</v>
      </c>
      <c r="C898" s="14">
        <f t="shared" si="53"/>
        <v>1038704.5293032791</v>
      </c>
      <c r="D898" s="14">
        <f t="shared" si="54"/>
        <v>881013.41264243296</v>
      </c>
      <c r="E898" s="14">
        <f t="shared" si="55"/>
        <v>47992.948548635308</v>
      </c>
      <c r="F898" s="14">
        <f t="shared" si="52"/>
        <v>69589.775395526027</v>
      </c>
      <c r="H898" s="14" cm="1">
        <f t="array" ref="H898:K898">MMULT($C897:$F897,P_Matrix)</f>
        <v>989991.68652632937</v>
      </c>
      <c r="I898" s="14">
        <v>860136.48002374021</v>
      </c>
      <c r="J898" s="14">
        <v>47992.948548635308</v>
      </c>
      <c r="K898" s="14">
        <v>139179.55079104769</v>
      </c>
      <c r="M898" s="12">
        <f>MAX((Inputs!F$25*POWER(1+(Inputs!$C$3-(Inputs!$C$3*(('Steady State'!$A898-1)/Inputs!$C$4))),'Steady State'!$A898-1)),M897)</f>
        <v>48712.842776949758</v>
      </c>
      <c r="N898" s="12">
        <f>MAX((Inputs!G$25*POWER(1+(Inputs!$C$3-(Inputs!$C$3*(('Steady State'!$A898-1)/Inputs!$C$4))),'Steady State'!$A898-1)),N897)</f>
        <v>20876.932618692754</v>
      </c>
      <c r="O898" s="12">
        <v>0</v>
      </c>
      <c r="P898" s="12">
        <v>0</v>
      </c>
    </row>
    <row r="899" spans="1:16" x14ac:dyDescent="0.35">
      <c r="A899">
        <v>897</v>
      </c>
      <c r="C899" s="14">
        <f t="shared" si="53"/>
        <v>1038704.52930332</v>
      </c>
      <c r="D899" s="14">
        <f t="shared" si="54"/>
        <v>881013.41264250129</v>
      </c>
      <c r="E899" s="14">
        <f t="shared" si="55"/>
        <v>47992.948548638306</v>
      </c>
      <c r="F899" s="14">
        <f t="shared" ref="F899:F962" si="56">(K899+P899)-F898</f>
        <v>69589.775395530189</v>
      </c>
      <c r="H899" s="14" cm="1">
        <f t="array" ref="H899:K899">MMULT($C898:$F898,P_Matrix)</f>
        <v>989991.68652637023</v>
      </c>
      <c r="I899" s="14">
        <v>860136.48002380854</v>
      </c>
      <c r="J899" s="14">
        <v>47992.948548638306</v>
      </c>
      <c r="K899" s="14">
        <v>139179.55079105622</v>
      </c>
      <c r="M899" s="12">
        <f>MAX((Inputs!F$25*POWER(1+(Inputs!$C$3-(Inputs!$C$3*(('Steady State'!$A899-1)/Inputs!$C$4))),'Steady State'!$A899-1)),M898)</f>
        <v>48712.842776949758</v>
      </c>
      <c r="N899" s="12">
        <f>MAX((Inputs!G$25*POWER(1+(Inputs!$C$3-(Inputs!$C$3*(('Steady State'!$A899-1)/Inputs!$C$4))),'Steady State'!$A899-1)),N898)</f>
        <v>20876.932618692754</v>
      </c>
      <c r="O899" s="12">
        <v>0</v>
      </c>
      <c r="P899" s="12">
        <v>0</v>
      </c>
    </row>
    <row r="900" spans="1:16" x14ac:dyDescent="0.35">
      <c r="A900">
        <v>898</v>
      </c>
      <c r="C900" s="14">
        <f t="shared" ref="C900:C963" si="57">H900+M900</f>
        <v>1038704.5293033593</v>
      </c>
      <c r="D900" s="14">
        <f t="shared" ref="D900:D963" si="58">I900+N900</f>
        <v>881013.41264256719</v>
      </c>
      <c r="E900" s="14">
        <f t="shared" ref="E900:E963" si="59">J900+O900</f>
        <v>47992.948548641194</v>
      </c>
      <c r="F900" s="14">
        <f t="shared" si="56"/>
        <v>69589.775395534205</v>
      </c>
      <c r="H900" s="14" cm="1">
        <f t="array" ref="H900:K900">MMULT($C899:$F899,P_Matrix)</f>
        <v>989991.68652640958</v>
      </c>
      <c r="I900" s="14">
        <v>860136.48002387444</v>
      </c>
      <c r="J900" s="14">
        <v>47992.948548641194</v>
      </c>
      <c r="K900" s="14">
        <v>139179.55079106439</v>
      </c>
      <c r="M900" s="12">
        <f>MAX((Inputs!F$25*POWER(1+(Inputs!$C$3-(Inputs!$C$3*(('Steady State'!$A900-1)/Inputs!$C$4))),'Steady State'!$A900-1)),M899)</f>
        <v>48712.842776949758</v>
      </c>
      <c r="N900" s="12">
        <f>MAX((Inputs!G$25*POWER(1+(Inputs!$C$3-(Inputs!$C$3*(('Steady State'!$A900-1)/Inputs!$C$4))),'Steady State'!$A900-1)),N899)</f>
        <v>20876.932618692754</v>
      </c>
      <c r="O900" s="12">
        <v>0</v>
      </c>
      <c r="P900" s="12">
        <v>0</v>
      </c>
    </row>
    <row r="901" spans="1:16" x14ac:dyDescent="0.35">
      <c r="A901">
        <v>899</v>
      </c>
      <c r="C901" s="14">
        <f t="shared" si="57"/>
        <v>1038704.5293033973</v>
      </c>
      <c r="D901" s="14">
        <f t="shared" si="58"/>
        <v>881013.41264263075</v>
      </c>
      <c r="E901" s="14">
        <f t="shared" si="59"/>
        <v>47992.948548643981</v>
      </c>
      <c r="F901" s="14">
        <f t="shared" si="56"/>
        <v>69589.775395538105</v>
      </c>
      <c r="H901" s="14" cm="1">
        <f t="array" ref="H901:K901">MMULT($C900:$F900,P_Matrix)</f>
        <v>989991.68652644753</v>
      </c>
      <c r="I901" s="14">
        <v>860136.480023938</v>
      </c>
      <c r="J901" s="14">
        <v>47992.948548643981</v>
      </c>
      <c r="K901" s="14">
        <v>139179.55079107231</v>
      </c>
      <c r="M901" s="12">
        <f>MAX((Inputs!F$25*POWER(1+(Inputs!$C$3-(Inputs!$C$3*(('Steady State'!$A901-1)/Inputs!$C$4))),'Steady State'!$A901-1)),M900)</f>
        <v>48712.842776949758</v>
      </c>
      <c r="N901" s="12">
        <f>MAX((Inputs!G$25*POWER(1+(Inputs!$C$3-(Inputs!$C$3*(('Steady State'!$A901-1)/Inputs!$C$4))),'Steady State'!$A901-1)),N900)</f>
        <v>20876.932618692754</v>
      </c>
      <c r="O901" s="12">
        <v>0</v>
      </c>
      <c r="P901" s="12">
        <v>0</v>
      </c>
    </row>
    <row r="902" spans="1:16" x14ac:dyDescent="0.35">
      <c r="A902">
        <v>900</v>
      </c>
      <c r="C902" s="14">
        <f t="shared" si="57"/>
        <v>1038704.5293034338</v>
      </c>
      <c r="D902" s="14">
        <f t="shared" si="58"/>
        <v>881013.4126426921</v>
      </c>
      <c r="E902" s="14">
        <f t="shared" si="59"/>
        <v>47992.948548646673</v>
      </c>
      <c r="F902" s="14">
        <f t="shared" si="56"/>
        <v>69589.77539554183</v>
      </c>
      <c r="H902" s="14" cm="1">
        <f t="array" ref="H902:K902">MMULT($C901:$F901,P_Matrix)</f>
        <v>989991.68652648409</v>
      </c>
      <c r="I902" s="14">
        <v>860136.48002399935</v>
      </c>
      <c r="J902" s="14">
        <v>47992.948548646673</v>
      </c>
      <c r="K902" s="14">
        <v>139179.55079107994</v>
      </c>
      <c r="M902" s="12">
        <f>MAX((Inputs!F$25*POWER(1+(Inputs!$C$3-(Inputs!$C$3*(('Steady State'!$A902-1)/Inputs!$C$4))),'Steady State'!$A902-1)),M901)</f>
        <v>48712.842776949758</v>
      </c>
      <c r="N902" s="12">
        <f>MAX((Inputs!G$25*POWER(1+(Inputs!$C$3-(Inputs!$C$3*(('Steady State'!$A902-1)/Inputs!$C$4))),'Steady State'!$A902-1)),N901)</f>
        <v>20876.932618692754</v>
      </c>
      <c r="O902" s="12">
        <v>0</v>
      </c>
      <c r="P902" s="12">
        <v>0</v>
      </c>
    </row>
    <row r="903" spans="1:16" x14ac:dyDescent="0.35">
      <c r="A903">
        <v>901</v>
      </c>
      <c r="C903" s="14">
        <f t="shared" si="57"/>
        <v>1038704.5293034691</v>
      </c>
      <c r="D903" s="14">
        <f t="shared" si="58"/>
        <v>881013.41264275124</v>
      </c>
      <c r="E903" s="14">
        <f t="shared" si="59"/>
        <v>47992.948548649263</v>
      </c>
      <c r="F903" s="14">
        <f t="shared" si="56"/>
        <v>69589.775395545439</v>
      </c>
      <c r="H903" s="14" cm="1">
        <f t="array" ref="H903:K903">MMULT($C902:$F902,P_Matrix)</f>
        <v>989991.68652651936</v>
      </c>
      <c r="I903" s="14">
        <v>860136.48002405849</v>
      </c>
      <c r="J903" s="14">
        <v>47992.948548649263</v>
      </c>
      <c r="K903" s="14">
        <v>139179.55079108727</v>
      </c>
      <c r="M903" s="12">
        <f>MAX((Inputs!F$25*POWER(1+(Inputs!$C$3-(Inputs!$C$3*(('Steady State'!$A903-1)/Inputs!$C$4))),'Steady State'!$A903-1)),M902)</f>
        <v>48712.842776949758</v>
      </c>
      <c r="N903" s="12">
        <f>MAX((Inputs!G$25*POWER(1+(Inputs!$C$3-(Inputs!$C$3*(('Steady State'!$A903-1)/Inputs!$C$4))),'Steady State'!$A903-1)),N902)</f>
        <v>20876.932618692754</v>
      </c>
      <c r="O903" s="12">
        <v>0</v>
      </c>
      <c r="P903" s="12">
        <v>0</v>
      </c>
    </row>
    <row r="904" spans="1:16" x14ac:dyDescent="0.35">
      <c r="A904">
        <v>902</v>
      </c>
      <c r="C904" s="14">
        <f t="shared" si="57"/>
        <v>1038704.5293035031</v>
      </c>
      <c r="D904" s="14">
        <f t="shared" si="58"/>
        <v>881013.41264280828</v>
      </c>
      <c r="E904" s="14">
        <f t="shared" si="59"/>
        <v>47992.948548651766</v>
      </c>
      <c r="F904" s="14">
        <f t="shared" si="56"/>
        <v>69589.775395548932</v>
      </c>
      <c r="H904" s="14" cm="1">
        <f t="array" ref="H904:K904">MMULT($C903:$F903,P_Matrix)</f>
        <v>989991.68652655336</v>
      </c>
      <c r="I904" s="14">
        <v>860136.48002411553</v>
      </c>
      <c r="J904" s="14">
        <v>47992.948548651766</v>
      </c>
      <c r="K904" s="14">
        <v>139179.55079109437</v>
      </c>
      <c r="M904" s="12">
        <f>MAX((Inputs!F$25*POWER(1+(Inputs!$C$3-(Inputs!$C$3*(('Steady State'!$A904-1)/Inputs!$C$4))),'Steady State'!$A904-1)),M903)</f>
        <v>48712.842776949758</v>
      </c>
      <c r="N904" s="12">
        <f>MAX((Inputs!G$25*POWER(1+(Inputs!$C$3-(Inputs!$C$3*(('Steady State'!$A904-1)/Inputs!$C$4))),'Steady State'!$A904-1)),N903)</f>
        <v>20876.932618692754</v>
      </c>
      <c r="O904" s="12">
        <v>0</v>
      </c>
      <c r="P904" s="12">
        <v>0</v>
      </c>
    </row>
    <row r="905" spans="1:16" x14ac:dyDescent="0.35">
      <c r="A905">
        <v>903</v>
      </c>
      <c r="C905" s="14">
        <f t="shared" si="57"/>
        <v>1038704.5293035358</v>
      </c>
      <c r="D905" s="14">
        <f t="shared" si="58"/>
        <v>881013.41264286323</v>
      </c>
      <c r="E905" s="14">
        <f t="shared" si="59"/>
        <v>47992.948548654174</v>
      </c>
      <c r="F905" s="14">
        <f t="shared" si="56"/>
        <v>69589.775395552278</v>
      </c>
      <c r="H905" s="14" cm="1">
        <f t="array" ref="H905:K905">MMULT($C904:$F904,P_Matrix)</f>
        <v>989991.68652658607</v>
      </c>
      <c r="I905" s="14">
        <v>860136.48002417048</v>
      </c>
      <c r="J905" s="14">
        <v>47992.948548654174</v>
      </c>
      <c r="K905" s="14">
        <v>139179.55079110121</v>
      </c>
      <c r="M905" s="12">
        <f>MAX((Inputs!F$25*POWER(1+(Inputs!$C$3-(Inputs!$C$3*(('Steady State'!$A905-1)/Inputs!$C$4))),'Steady State'!$A905-1)),M904)</f>
        <v>48712.842776949758</v>
      </c>
      <c r="N905" s="12">
        <f>MAX((Inputs!G$25*POWER(1+(Inputs!$C$3-(Inputs!$C$3*(('Steady State'!$A905-1)/Inputs!$C$4))),'Steady State'!$A905-1)),N904)</f>
        <v>20876.932618692754</v>
      </c>
      <c r="O905" s="12">
        <v>0</v>
      </c>
      <c r="P905" s="12">
        <v>0</v>
      </c>
    </row>
    <row r="906" spans="1:16" x14ac:dyDescent="0.35">
      <c r="A906">
        <v>904</v>
      </c>
      <c r="C906" s="14">
        <f t="shared" si="57"/>
        <v>1038704.5293035674</v>
      </c>
      <c r="D906" s="14">
        <f t="shared" si="58"/>
        <v>881013.4126429162</v>
      </c>
      <c r="E906" s="14">
        <f t="shared" si="59"/>
        <v>47992.948548656495</v>
      </c>
      <c r="F906" s="14">
        <f t="shared" si="56"/>
        <v>69589.775395555509</v>
      </c>
      <c r="H906" s="14" cm="1">
        <f t="array" ref="H906:K906">MMULT($C905:$F905,P_Matrix)</f>
        <v>989991.68652661762</v>
      </c>
      <c r="I906" s="14">
        <v>860136.48002422345</v>
      </c>
      <c r="J906" s="14">
        <v>47992.948548656495</v>
      </c>
      <c r="K906" s="14">
        <v>139179.55079110779</v>
      </c>
      <c r="M906" s="12">
        <f>MAX((Inputs!F$25*POWER(1+(Inputs!$C$3-(Inputs!$C$3*(('Steady State'!$A906-1)/Inputs!$C$4))),'Steady State'!$A906-1)),M905)</f>
        <v>48712.842776949758</v>
      </c>
      <c r="N906" s="12">
        <f>MAX((Inputs!G$25*POWER(1+(Inputs!$C$3-(Inputs!$C$3*(('Steady State'!$A906-1)/Inputs!$C$4))),'Steady State'!$A906-1)),N905)</f>
        <v>20876.932618692754</v>
      </c>
      <c r="O906" s="12">
        <v>0</v>
      </c>
      <c r="P906" s="12">
        <v>0</v>
      </c>
    </row>
    <row r="907" spans="1:16" x14ac:dyDescent="0.35">
      <c r="A907">
        <v>905</v>
      </c>
      <c r="C907" s="14">
        <f t="shared" si="57"/>
        <v>1038704.5293035979</v>
      </c>
      <c r="D907" s="14">
        <f t="shared" si="58"/>
        <v>881013.41264296731</v>
      </c>
      <c r="E907" s="14">
        <f t="shared" si="59"/>
        <v>47992.948548658736</v>
      </c>
      <c r="F907" s="14">
        <f t="shared" si="56"/>
        <v>69589.775395558623</v>
      </c>
      <c r="H907" s="14" cm="1">
        <f t="array" ref="H907:K907">MMULT($C906:$F906,P_Matrix)</f>
        <v>989991.68652664812</v>
      </c>
      <c r="I907" s="14">
        <v>860136.48002427456</v>
      </c>
      <c r="J907" s="14">
        <v>47992.948548658736</v>
      </c>
      <c r="K907" s="14">
        <v>139179.55079111413</v>
      </c>
      <c r="M907" s="12">
        <f>MAX((Inputs!F$25*POWER(1+(Inputs!$C$3-(Inputs!$C$3*(('Steady State'!$A907-1)/Inputs!$C$4))),'Steady State'!$A907-1)),M906)</f>
        <v>48712.842776949758</v>
      </c>
      <c r="N907" s="12">
        <f>MAX((Inputs!G$25*POWER(1+(Inputs!$C$3-(Inputs!$C$3*(('Steady State'!$A907-1)/Inputs!$C$4))),'Steady State'!$A907-1)),N906)</f>
        <v>20876.932618692754</v>
      </c>
      <c r="O907" s="12">
        <v>0</v>
      </c>
      <c r="P907" s="12">
        <v>0</v>
      </c>
    </row>
    <row r="908" spans="1:16" x14ac:dyDescent="0.35">
      <c r="A908">
        <v>906</v>
      </c>
      <c r="C908" s="14">
        <f t="shared" si="57"/>
        <v>1038704.5293036272</v>
      </c>
      <c r="D908" s="14">
        <f t="shared" si="58"/>
        <v>881013.41264301655</v>
      </c>
      <c r="E908" s="14">
        <f t="shared" si="59"/>
        <v>47992.94854866089</v>
      </c>
      <c r="F908" s="14">
        <f t="shared" si="56"/>
        <v>69589.77539556165</v>
      </c>
      <c r="H908" s="14" cm="1">
        <f t="array" ref="H908:K908">MMULT($C907:$F907,P_Matrix)</f>
        <v>989991.68652667745</v>
      </c>
      <c r="I908" s="14">
        <v>860136.4800243238</v>
      </c>
      <c r="J908" s="14">
        <v>47992.94854866089</v>
      </c>
      <c r="K908" s="14">
        <v>139179.55079112027</v>
      </c>
      <c r="M908" s="12">
        <f>MAX((Inputs!F$25*POWER(1+(Inputs!$C$3-(Inputs!$C$3*(('Steady State'!$A908-1)/Inputs!$C$4))),'Steady State'!$A908-1)),M907)</f>
        <v>48712.842776949758</v>
      </c>
      <c r="N908" s="12">
        <f>MAX((Inputs!G$25*POWER(1+(Inputs!$C$3-(Inputs!$C$3*(('Steady State'!$A908-1)/Inputs!$C$4))),'Steady State'!$A908-1)),N907)</f>
        <v>20876.932618692754</v>
      </c>
      <c r="O908" s="12">
        <v>0</v>
      </c>
      <c r="P908" s="12">
        <v>0</v>
      </c>
    </row>
    <row r="909" spans="1:16" x14ac:dyDescent="0.35">
      <c r="A909">
        <v>907</v>
      </c>
      <c r="C909" s="14">
        <f t="shared" si="57"/>
        <v>1038704.5293036555</v>
      </c>
      <c r="D909" s="14">
        <f t="shared" si="58"/>
        <v>881013.41264306405</v>
      </c>
      <c r="E909" s="14">
        <f t="shared" si="59"/>
        <v>47992.948548662971</v>
      </c>
      <c r="F909" s="14">
        <f t="shared" si="56"/>
        <v>69589.775395564531</v>
      </c>
      <c r="H909" s="14" cm="1">
        <f t="array" ref="H909:K909">MMULT($C908:$F908,P_Matrix)</f>
        <v>989991.68652670574</v>
      </c>
      <c r="I909" s="14">
        <v>860136.4800243713</v>
      </c>
      <c r="J909" s="14">
        <v>47992.948548662971</v>
      </c>
      <c r="K909" s="14">
        <v>139179.55079112618</v>
      </c>
      <c r="M909" s="12">
        <f>MAX((Inputs!F$25*POWER(1+(Inputs!$C$3-(Inputs!$C$3*(('Steady State'!$A909-1)/Inputs!$C$4))),'Steady State'!$A909-1)),M908)</f>
        <v>48712.842776949758</v>
      </c>
      <c r="N909" s="12">
        <f>MAX((Inputs!G$25*POWER(1+(Inputs!$C$3-(Inputs!$C$3*(('Steady State'!$A909-1)/Inputs!$C$4))),'Steady State'!$A909-1)),N908)</f>
        <v>20876.932618692754</v>
      </c>
      <c r="O909" s="12">
        <v>0</v>
      </c>
      <c r="P909" s="12">
        <v>0</v>
      </c>
    </row>
    <row r="910" spans="1:16" x14ac:dyDescent="0.35">
      <c r="A910">
        <v>908</v>
      </c>
      <c r="C910" s="14">
        <f t="shared" si="57"/>
        <v>1038704.5293036829</v>
      </c>
      <c r="D910" s="14">
        <f t="shared" si="58"/>
        <v>881013.4126431098</v>
      </c>
      <c r="E910" s="14">
        <f t="shared" si="59"/>
        <v>47992.948548664979</v>
      </c>
      <c r="F910" s="14">
        <f t="shared" si="56"/>
        <v>69589.775395567325</v>
      </c>
      <c r="H910" s="14" cm="1">
        <f t="array" ref="H910:K910">MMULT($C909:$F909,P_Matrix)</f>
        <v>989991.6865267331</v>
      </c>
      <c r="I910" s="14">
        <v>860136.48002441705</v>
      </c>
      <c r="J910" s="14">
        <v>47992.948548664979</v>
      </c>
      <c r="K910" s="14">
        <v>139179.55079113186</v>
      </c>
      <c r="M910" s="12">
        <f>MAX((Inputs!F$25*POWER(1+(Inputs!$C$3-(Inputs!$C$3*(('Steady State'!$A910-1)/Inputs!$C$4))),'Steady State'!$A910-1)),M909)</f>
        <v>48712.842776949758</v>
      </c>
      <c r="N910" s="12">
        <f>MAX((Inputs!G$25*POWER(1+(Inputs!$C$3-(Inputs!$C$3*(('Steady State'!$A910-1)/Inputs!$C$4))),'Steady State'!$A910-1)),N909)</f>
        <v>20876.932618692754</v>
      </c>
      <c r="O910" s="12">
        <v>0</v>
      </c>
      <c r="P910" s="12">
        <v>0</v>
      </c>
    </row>
    <row r="911" spans="1:16" x14ac:dyDescent="0.35">
      <c r="A911">
        <v>909</v>
      </c>
      <c r="C911" s="14">
        <f t="shared" si="57"/>
        <v>1038704.5293037092</v>
      </c>
      <c r="D911" s="14">
        <f t="shared" si="58"/>
        <v>881013.41264315404</v>
      </c>
      <c r="E911" s="14">
        <f t="shared" si="59"/>
        <v>47992.948548666915</v>
      </c>
      <c r="F911" s="14">
        <f t="shared" si="56"/>
        <v>69589.775395570003</v>
      </c>
      <c r="H911" s="14" cm="1">
        <f t="array" ref="H911:K911">MMULT($C910:$F910,P_Matrix)</f>
        <v>989991.68652675941</v>
      </c>
      <c r="I911" s="14">
        <v>860136.48002446129</v>
      </c>
      <c r="J911" s="14">
        <v>47992.948548666915</v>
      </c>
      <c r="K911" s="14">
        <v>139179.55079113733</v>
      </c>
      <c r="M911" s="12">
        <f>MAX((Inputs!F$25*POWER(1+(Inputs!$C$3-(Inputs!$C$3*(('Steady State'!$A911-1)/Inputs!$C$4))),'Steady State'!$A911-1)),M910)</f>
        <v>48712.842776949758</v>
      </c>
      <c r="N911" s="12">
        <f>MAX((Inputs!G$25*POWER(1+(Inputs!$C$3-(Inputs!$C$3*(('Steady State'!$A911-1)/Inputs!$C$4))),'Steady State'!$A911-1)),N910)</f>
        <v>20876.932618692754</v>
      </c>
      <c r="O911" s="12">
        <v>0</v>
      </c>
      <c r="P911" s="12">
        <v>0</v>
      </c>
    </row>
    <row r="912" spans="1:16" x14ac:dyDescent="0.35">
      <c r="A912">
        <v>910</v>
      </c>
      <c r="C912" s="14">
        <f t="shared" si="57"/>
        <v>1038704.5293037345</v>
      </c>
      <c r="D912" s="14">
        <f t="shared" si="58"/>
        <v>881013.41264319664</v>
      </c>
      <c r="E912" s="14">
        <f t="shared" si="59"/>
        <v>47992.948548668777</v>
      </c>
      <c r="F912" s="14">
        <f t="shared" si="56"/>
        <v>69589.775395572622</v>
      </c>
      <c r="H912" s="14" cm="1">
        <f t="array" ref="H912:K912">MMULT($C911:$F911,P_Matrix)</f>
        <v>989991.68652678479</v>
      </c>
      <c r="I912" s="14">
        <v>860136.48002450389</v>
      </c>
      <c r="J912" s="14">
        <v>47992.948548668777</v>
      </c>
      <c r="K912" s="14">
        <v>139179.55079114262</v>
      </c>
      <c r="M912" s="12">
        <f>MAX((Inputs!F$25*POWER(1+(Inputs!$C$3-(Inputs!$C$3*(('Steady State'!$A912-1)/Inputs!$C$4))),'Steady State'!$A912-1)),M911)</f>
        <v>48712.842776949758</v>
      </c>
      <c r="N912" s="12">
        <f>MAX((Inputs!G$25*POWER(1+(Inputs!$C$3-(Inputs!$C$3*(('Steady State'!$A912-1)/Inputs!$C$4))),'Steady State'!$A912-1)),N911)</f>
        <v>20876.932618692754</v>
      </c>
      <c r="O912" s="12">
        <v>0</v>
      </c>
      <c r="P912" s="12">
        <v>0</v>
      </c>
    </row>
    <row r="913" spans="1:16" x14ac:dyDescent="0.35">
      <c r="A913">
        <v>911</v>
      </c>
      <c r="C913" s="14">
        <f t="shared" si="57"/>
        <v>1038704.5293037591</v>
      </c>
      <c r="D913" s="14">
        <f t="shared" si="58"/>
        <v>881013.41264323762</v>
      </c>
      <c r="E913" s="14">
        <f t="shared" si="59"/>
        <v>47992.948548670582</v>
      </c>
      <c r="F913" s="14">
        <f t="shared" si="56"/>
        <v>69589.775395575125</v>
      </c>
      <c r="H913" s="14" cm="1">
        <f t="array" ref="H913:K913">MMULT($C912:$F912,P_Matrix)</f>
        <v>989991.68652680935</v>
      </c>
      <c r="I913" s="14">
        <v>860136.48002454487</v>
      </c>
      <c r="J913" s="14">
        <v>47992.948548670582</v>
      </c>
      <c r="K913" s="14">
        <v>139179.55079114775</v>
      </c>
      <c r="M913" s="12">
        <f>MAX((Inputs!F$25*POWER(1+(Inputs!$C$3-(Inputs!$C$3*(('Steady State'!$A913-1)/Inputs!$C$4))),'Steady State'!$A913-1)),M912)</f>
        <v>48712.842776949758</v>
      </c>
      <c r="N913" s="12">
        <f>MAX((Inputs!G$25*POWER(1+(Inputs!$C$3-(Inputs!$C$3*(('Steady State'!$A913-1)/Inputs!$C$4))),'Steady State'!$A913-1)),N912)</f>
        <v>20876.932618692754</v>
      </c>
      <c r="O913" s="12">
        <v>0</v>
      </c>
      <c r="P913" s="12">
        <v>0</v>
      </c>
    </row>
    <row r="914" spans="1:16" x14ac:dyDescent="0.35">
      <c r="A914">
        <v>912</v>
      </c>
      <c r="C914" s="14">
        <f t="shared" si="57"/>
        <v>1038704.5293037826</v>
      </c>
      <c r="D914" s="14">
        <f t="shared" si="58"/>
        <v>881013.4126432772</v>
      </c>
      <c r="E914" s="14">
        <f t="shared" si="59"/>
        <v>47992.948548672313</v>
      </c>
      <c r="F914" s="14">
        <f t="shared" si="56"/>
        <v>69589.775395577541</v>
      </c>
      <c r="H914" s="14" cm="1">
        <f t="array" ref="H914:K914">MMULT($C913:$F913,P_Matrix)</f>
        <v>989991.68652683287</v>
      </c>
      <c r="I914" s="14">
        <v>860136.48002458445</v>
      </c>
      <c r="J914" s="14">
        <v>47992.948548672313</v>
      </c>
      <c r="K914" s="14">
        <v>139179.55079115267</v>
      </c>
      <c r="M914" s="12">
        <f>MAX((Inputs!F$25*POWER(1+(Inputs!$C$3-(Inputs!$C$3*(('Steady State'!$A914-1)/Inputs!$C$4))),'Steady State'!$A914-1)),M913)</f>
        <v>48712.842776949758</v>
      </c>
      <c r="N914" s="12">
        <f>MAX((Inputs!G$25*POWER(1+(Inputs!$C$3-(Inputs!$C$3*(('Steady State'!$A914-1)/Inputs!$C$4))),'Steady State'!$A914-1)),N913)</f>
        <v>20876.932618692754</v>
      </c>
      <c r="O914" s="12">
        <v>0</v>
      </c>
      <c r="P914" s="12">
        <v>0</v>
      </c>
    </row>
    <row r="915" spans="1:16" x14ac:dyDescent="0.35">
      <c r="A915">
        <v>913</v>
      </c>
      <c r="C915" s="14">
        <f t="shared" si="57"/>
        <v>1038704.5293038054</v>
      </c>
      <c r="D915" s="14">
        <f t="shared" si="58"/>
        <v>881013.41264331539</v>
      </c>
      <c r="E915" s="14">
        <f t="shared" si="59"/>
        <v>47992.948548673987</v>
      </c>
      <c r="F915" s="14">
        <f t="shared" si="56"/>
        <v>69589.775395579869</v>
      </c>
      <c r="H915" s="14" cm="1">
        <f t="array" ref="H915:K915">MMULT($C914:$F914,P_Matrix)</f>
        <v>989991.68652685569</v>
      </c>
      <c r="I915" s="14">
        <v>860136.48002462264</v>
      </c>
      <c r="J915" s="14">
        <v>47992.948548673987</v>
      </c>
      <c r="K915" s="14">
        <v>139179.55079115741</v>
      </c>
      <c r="M915" s="12">
        <f>MAX((Inputs!F$25*POWER(1+(Inputs!$C$3-(Inputs!$C$3*(('Steady State'!$A915-1)/Inputs!$C$4))),'Steady State'!$A915-1)),M914)</f>
        <v>48712.842776949758</v>
      </c>
      <c r="N915" s="12">
        <f>MAX((Inputs!G$25*POWER(1+(Inputs!$C$3-(Inputs!$C$3*(('Steady State'!$A915-1)/Inputs!$C$4))),'Steady State'!$A915-1)),N914)</f>
        <v>20876.932618692754</v>
      </c>
      <c r="O915" s="12">
        <v>0</v>
      </c>
      <c r="P915" s="12">
        <v>0</v>
      </c>
    </row>
    <row r="916" spans="1:16" x14ac:dyDescent="0.35">
      <c r="A916">
        <v>914</v>
      </c>
      <c r="C916" s="14">
        <f t="shared" si="57"/>
        <v>1038704.5293038273</v>
      </c>
      <c r="D916" s="14">
        <f t="shared" si="58"/>
        <v>881013.41264335217</v>
      </c>
      <c r="E916" s="14">
        <f t="shared" si="59"/>
        <v>47992.948548675602</v>
      </c>
      <c r="F916" s="14">
        <f t="shared" si="56"/>
        <v>69589.775395582139</v>
      </c>
      <c r="H916" s="14" cm="1">
        <f t="array" ref="H916:K916">MMULT($C915:$F915,P_Matrix)</f>
        <v>989991.68652687757</v>
      </c>
      <c r="I916" s="14">
        <v>860136.48002465942</v>
      </c>
      <c r="J916" s="14">
        <v>47992.948548675602</v>
      </c>
      <c r="K916" s="14">
        <v>139179.55079116201</v>
      </c>
      <c r="M916" s="12">
        <f>MAX((Inputs!F$25*POWER(1+(Inputs!$C$3-(Inputs!$C$3*(('Steady State'!$A916-1)/Inputs!$C$4))),'Steady State'!$A916-1)),M915)</f>
        <v>48712.842776949758</v>
      </c>
      <c r="N916" s="12">
        <f>MAX((Inputs!G$25*POWER(1+(Inputs!$C$3-(Inputs!$C$3*(('Steady State'!$A916-1)/Inputs!$C$4))),'Steady State'!$A916-1)),N915)</f>
        <v>20876.932618692754</v>
      </c>
      <c r="O916" s="12">
        <v>0</v>
      </c>
      <c r="P916" s="12">
        <v>0</v>
      </c>
    </row>
    <row r="917" spans="1:16" x14ac:dyDescent="0.35">
      <c r="A917">
        <v>915</v>
      </c>
      <c r="C917" s="14">
        <f t="shared" si="57"/>
        <v>1038704.5293038484</v>
      </c>
      <c r="D917" s="14">
        <f t="shared" si="58"/>
        <v>881013.41264338756</v>
      </c>
      <c r="E917" s="14">
        <f t="shared" si="59"/>
        <v>47992.948548677159</v>
      </c>
      <c r="F917" s="14">
        <f t="shared" si="56"/>
        <v>69589.775395584293</v>
      </c>
      <c r="H917" s="14" cm="1">
        <f t="array" ref="H917:K917">MMULT($C916:$F916,P_Matrix)</f>
        <v>989991.68652689864</v>
      </c>
      <c r="I917" s="14">
        <v>860136.48002469481</v>
      </c>
      <c r="J917" s="14">
        <v>47992.948548677159</v>
      </c>
      <c r="K917" s="14">
        <v>139179.55079116643</v>
      </c>
      <c r="M917" s="12">
        <f>MAX((Inputs!F$25*POWER(1+(Inputs!$C$3-(Inputs!$C$3*(('Steady State'!$A917-1)/Inputs!$C$4))),'Steady State'!$A917-1)),M916)</f>
        <v>48712.842776949758</v>
      </c>
      <c r="N917" s="12">
        <f>MAX((Inputs!G$25*POWER(1+(Inputs!$C$3-(Inputs!$C$3*(('Steady State'!$A917-1)/Inputs!$C$4))),'Steady State'!$A917-1)),N916)</f>
        <v>20876.932618692754</v>
      </c>
      <c r="O917" s="12">
        <v>0</v>
      </c>
      <c r="P917" s="12">
        <v>0</v>
      </c>
    </row>
    <row r="918" spans="1:16" x14ac:dyDescent="0.35">
      <c r="A918">
        <v>916</v>
      </c>
      <c r="C918" s="14">
        <f t="shared" si="57"/>
        <v>1038704.5293038688</v>
      </c>
      <c r="D918" s="14">
        <f t="shared" si="58"/>
        <v>881013.41264342167</v>
      </c>
      <c r="E918" s="14">
        <f t="shared" si="59"/>
        <v>47992.948548678658</v>
      </c>
      <c r="F918" s="14">
        <f t="shared" si="56"/>
        <v>69589.775395586359</v>
      </c>
      <c r="H918" s="14" cm="1">
        <f t="array" ref="H918:K918">MMULT($C917:$F917,P_Matrix)</f>
        <v>989991.68652691902</v>
      </c>
      <c r="I918" s="14">
        <v>860136.48002472892</v>
      </c>
      <c r="J918" s="14">
        <v>47992.948548678658</v>
      </c>
      <c r="K918" s="14">
        <v>139179.55079117065</v>
      </c>
      <c r="M918" s="12">
        <f>MAX((Inputs!F$25*POWER(1+(Inputs!$C$3-(Inputs!$C$3*(('Steady State'!$A918-1)/Inputs!$C$4))),'Steady State'!$A918-1)),M917)</f>
        <v>48712.842776949758</v>
      </c>
      <c r="N918" s="12">
        <f>MAX((Inputs!G$25*POWER(1+(Inputs!$C$3-(Inputs!$C$3*(('Steady State'!$A918-1)/Inputs!$C$4))),'Steady State'!$A918-1)),N917)</f>
        <v>20876.932618692754</v>
      </c>
      <c r="O918" s="12">
        <v>0</v>
      </c>
      <c r="P918" s="12">
        <v>0</v>
      </c>
    </row>
    <row r="919" spans="1:16" x14ac:dyDescent="0.35">
      <c r="A919">
        <v>917</v>
      </c>
      <c r="C919" s="14">
        <f t="shared" si="57"/>
        <v>1038704.5293038884</v>
      </c>
      <c r="D919" s="14">
        <f t="shared" si="58"/>
        <v>881013.41264345474</v>
      </c>
      <c r="E919" s="14">
        <f t="shared" si="59"/>
        <v>47992.948548680099</v>
      </c>
      <c r="F919" s="14">
        <f t="shared" si="56"/>
        <v>69589.775395588367</v>
      </c>
      <c r="H919" s="14" cm="1">
        <f t="array" ref="H919:K919">MMULT($C918:$F918,P_Matrix)</f>
        <v>989991.68652693869</v>
      </c>
      <c r="I919" s="14">
        <v>860136.48002476199</v>
      </c>
      <c r="J919" s="14">
        <v>47992.948548680099</v>
      </c>
      <c r="K919" s="14">
        <v>139179.55079117473</v>
      </c>
      <c r="M919" s="12">
        <f>MAX((Inputs!F$25*POWER(1+(Inputs!$C$3-(Inputs!$C$3*(('Steady State'!$A919-1)/Inputs!$C$4))),'Steady State'!$A919-1)),M918)</f>
        <v>48712.842776949758</v>
      </c>
      <c r="N919" s="12">
        <f>MAX((Inputs!G$25*POWER(1+(Inputs!$C$3-(Inputs!$C$3*(('Steady State'!$A919-1)/Inputs!$C$4))),'Steady State'!$A919-1)),N918)</f>
        <v>20876.932618692754</v>
      </c>
      <c r="O919" s="12">
        <v>0</v>
      </c>
      <c r="P919" s="12">
        <v>0</v>
      </c>
    </row>
    <row r="920" spans="1:16" x14ac:dyDescent="0.35">
      <c r="A920">
        <v>918</v>
      </c>
      <c r="C920" s="14">
        <f t="shared" si="57"/>
        <v>1038704.5293039074</v>
      </c>
      <c r="D920" s="14">
        <f t="shared" si="58"/>
        <v>881013.41264348652</v>
      </c>
      <c r="E920" s="14">
        <f t="shared" si="59"/>
        <v>47992.948548681496</v>
      </c>
      <c r="F920" s="14">
        <f t="shared" si="56"/>
        <v>69589.775395590317</v>
      </c>
      <c r="H920" s="14" cm="1">
        <f t="array" ref="H920:K920">MMULT($C919:$F919,P_Matrix)</f>
        <v>989991.68652695767</v>
      </c>
      <c r="I920" s="14">
        <v>860136.48002479377</v>
      </c>
      <c r="J920" s="14">
        <v>47992.948548681496</v>
      </c>
      <c r="K920" s="14">
        <v>139179.55079117868</v>
      </c>
      <c r="M920" s="12">
        <f>MAX((Inputs!F$25*POWER(1+(Inputs!$C$3-(Inputs!$C$3*(('Steady State'!$A920-1)/Inputs!$C$4))),'Steady State'!$A920-1)),M919)</f>
        <v>48712.842776949758</v>
      </c>
      <c r="N920" s="12">
        <f>MAX((Inputs!G$25*POWER(1+(Inputs!$C$3-(Inputs!$C$3*(('Steady State'!$A920-1)/Inputs!$C$4))),'Steady State'!$A920-1)),N919)</f>
        <v>20876.932618692754</v>
      </c>
      <c r="O920" s="12">
        <v>0</v>
      </c>
      <c r="P920" s="12">
        <v>0</v>
      </c>
    </row>
    <row r="921" spans="1:16" x14ac:dyDescent="0.35">
      <c r="A921">
        <v>919</v>
      </c>
      <c r="C921" s="14">
        <f t="shared" si="57"/>
        <v>1038704.5293039258</v>
      </c>
      <c r="D921" s="14">
        <f t="shared" si="58"/>
        <v>881013.41264351713</v>
      </c>
      <c r="E921" s="14">
        <f t="shared" si="59"/>
        <v>47992.948548682834</v>
      </c>
      <c r="F921" s="14">
        <f t="shared" si="56"/>
        <v>69589.77539559218</v>
      </c>
      <c r="H921" s="14" cm="1">
        <f t="array" ref="H921:K921">MMULT($C920:$F920,P_Matrix)</f>
        <v>989991.68652697606</v>
      </c>
      <c r="I921" s="14">
        <v>860136.48002482438</v>
      </c>
      <c r="J921" s="14">
        <v>47992.948548682834</v>
      </c>
      <c r="K921" s="14">
        <v>139179.5507911825</v>
      </c>
      <c r="M921" s="12">
        <f>MAX((Inputs!F$25*POWER(1+(Inputs!$C$3-(Inputs!$C$3*(('Steady State'!$A921-1)/Inputs!$C$4))),'Steady State'!$A921-1)),M920)</f>
        <v>48712.842776949758</v>
      </c>
      <c r="N921" s="12">
        <f>MAX((Inputs!G$25*POWER(1+(Inputs!$C$3-(Inputs!$C$3*(('Steady State'!$A921-1)/Inputs!$C$4))),'Steady State'!$A921-1)),N920)</f>
        <v>20876.932618692754</v>
      </c>
      <c r="O921" s="12">
        <v>0</v>
      </c>
      <c r="P921" s="12">
        <v>0</v>
      </c>
    </row>
    <row r="922" spans="1:16" x14ac:dyDescent="0.35">
      <c r="A922">
        <v>920</v>
      </c>
      <c r="C922" s="14">
        <f t="shared" si="57"/>
        <v>1038704.5293039434</v>
      </c>
      <c r="D922" s="14">
        <f t="shared" si="58"/>
        <v>881013.41264354659</v>
      </c>
      <c r="E922" s="14">
        <f t="shared" si="59"/>
        <v>47992.948548684129</v>
      </c>
      <c r="F922" s="14">
        <f t="shared" si="56"/>
        <v>69589.775395593984</v>
      </c>
      <c r="H922" s="14" cm="1">
        <f t="array" ref="H922:K922">MMULT($C921:$F921,P_Matrix)</f>
        <v>989991.68652699364</v>
      </c>
      <c r="I922" s="14">
        <v>860136.48002485384</v>
      </c>
      <c r="J922" s="14">
        <v>47992.948548684129</v>
      </c>
      <c r="K922" s="14">
        <v>139179.55079118616</v>
      </c>
      <c r="M922" s="12">
        <f>MAX((Inputs!F$25*POWER(1+(Inputs!$C$3-(Inputs!$C$3*(('Steady State'!$A922-1)/Inputs!$C$4))),'Steady State'!$A922-1)),M921)</f>
        <v>48712.842776949758</v>
      </c>
      <c r="N922" s="12">
        <f>MAX((Inputs!G$25*POWER(1+(Inputs!$C$3-(Inputs!$C$3*(('Steady State'!$A922-1)/Inputs!$C$4))),'Steady State'!$A922-1)),N921)</f>
        <v>20876.932618692754</v>
      </c>
      <c r="O922" s="12">
        <v>0</v>
      </c>
      <c r="P922" s="12">
        <v>0</v>
      </c>
    </row>
    <row r="923" spans="1:16" x14ac:dyDescent="0.35">
      <c r="A923">
        <v>921</v>
      </c>
      <c r="C923" s="14">
        <f t="shared" si="57"/>
        <v>1038704.5293039604</v>
      </c>
      <c r="D923" s="14">
        <f t="shared" si="58"/>
        <v>881013.41264357499</v>
      </c>
      <c r="E923" s="14">
        <f t="shared" si="59"/>
        <v>47992.948548685381</v>
      </c>
      <c r="F923" s="14">
        <f t="shared" si="56"/>
        <v>69589.775395595731</v>
      </c>
      <c r="H923" s="14" cm="1">
        <f t="array" ref="H923:K923">MMULT($C922:$F922,P_Matrix)</f>
        <v>989991.68652701064</v>
      </c>
      <c r="I923" s="14">
        <v>860136.48002488224</v>
      </c>
      <c r="J923" s="14">
        <v>47992.948548685381</v>
      </c>
      <c r="K923" s="14">
        <v>139179.55079118971</v>
      </c>
      <c r="M923" s="12">
        <f>MAX((Inputs!F$25*POWER(1+(Inputs!$C$3-(Inputs!$C$3*(('Steady State'!$A923-1)/Inputs!$C$4))),'Steady State'!$A923-1)),M922)</f>
        <v>48712.842776949758</v>
      </c>
      <c r="N923" s="12">
        <f>MAX((Inputs!G$25*POWER(1+(Inputs!$C$3-(Inputs!$C$3*(('Steady State'!$A923-1)/Inputs!$C$4))),'Steady State'!$A923-1)),N922)</f>
        <v>20876.932618692754</v>
      </c>
      <c r="O923" s="12">
        <v>0</v>
      </c>
      <c r="P923" s="12">
        <v>0</v>
      </c>
    </row>
    <row r="924" spans="1:16" x14ac:dyDescent="0.35">
      <c r="A924">
        <v>922</v>
      </c>
      <c r="C924" s="14">
        <f t="shared" si="57"/>
        <v>1038704.5293039768</v>
      </c>
      <c r="D924" s="14">
        <f t="shared" si="58"/>
        <v>881013.41264360235</v>
      </c>
      <c r="E924" s="14">
        <f t="shared" si="59"/>
        <v>47992.948548686581</v>
      </c>
      <c r="F924" s="14">
        <f t="shared" si="56"/>
        <v>69589.775395597419</v>
      </c>
      <c r="H924" s="14" cm="1">
        <f t="array" ref="H924:K924">MMULT($C923:$F923,P_Matrix)</f>
        <v>989991.68652702705</v>
      </c>
      <c r="I924" s="14">
        <v>860136.4800249096</v>
      </c>
      <c r="J924" s="14">
        <v>47992.948548686581</v>
      </c>
      <c r="K924" s="14">
        <v>139179.55079119315</v>
      </c>
      <c r="M924" s="12">
        <f>MAX((Inputs!F$25*POWER(1+(Inputs!$C$3-(Inputs!$C$3*(('Steady State'!$A924-1)/Inputs!$C$4))),'Steady State'!$A924-1)),M923)</f>
        <v>48712.842776949758</v>
      </c>
      <c r="N924" s="12">
        <f>MAX((Inputs!G$25*POWER(1+(Inputs!$C$3-(Inputs!$C$3*(('Steady State'!$A924-1)/Inputs!$C$4))),'Steady State'!$A924-1)),N923)</f>
        <v>20876.932618692754</v>
      </c>
      <c r="O924" s="12">
        <v>0</v>
      </c>
      <c r="P924" s="12">
        <v>0</v>
      </c>
    </row>
    <row r="925" spans="1:16" x14ac:dyDescent="0.35">
      <c r="A925">
        <v>923</v>
      </c>
      <c r="C925" s="14">
        <f t="shared" si="57"/>
        <v>1038704.5293039926</v>
      </c>
      <c r="D925" s="14">
        <f t="shared" si="58"/>
        <v>881013.41264362878</v>
      </c>
      <c r="E925" s="14">
        <f t="shared" si="59"/>
        <v>47992.948548687738</v>
      </c>
      <c r="F925" s="14">
        <f t="shared" si="56"/>
        <v>69589.775395599019</v>
      </c>
      <c r="H925" s="14" cm="1">
        <f t="array" ref="H925:K925">MMULT($C924:$F924,P_Matrix)</f>
        <v>989991.68652704288</v>
      </c>
      <c r="I925" s="14">
        <v>860136.48002493603</v>
      </c>
      <c r="J925" s="14">
        <v>47992.948548687738</v>
      </c>
      <c r="K925" s="14">
        <v>139179.55079119644</v>
      </c>
      <c r="M925" s="12">
        <f>MAX((Inputs!F$25*POWER(1+(Inputs!$C$3-(Inputs!$C$3*(('Steady State'!$A925-1)/Inputs!$C$4))),'Steady State'!$A925-1)),M924)</f>
        <v>48712.842776949758</v>
      </c>
      <c r="N925" s="12">
        <f>MAX((Inputs!G$25*POWER(1+(Inputs!$C$3-(Inputs!$C$3*(('Steady State'!$A925-1)/Inputs!$C$4))),'Steady State'!$A925-1)),N924)</f>
        <v>20876.932618692754</v>
      </c>
      <c r="O925" s="12">
        <v>0</v>
      </c>
      <c r="P925" s="12">
        <v>0</v>
      </c>
    </row>
    <row r="926" spans="1:16" x14ac:dyDescent="0.35">
      <c r="A926">
        <v>924</v>
      </c>
      <c r="C926" s="14">
        <f t="shared" si="57"/>
        <v>1038704.5293040079</v>
      </c>
      <c r="D926" s="14">
        <f t="shared" si="58"/>
        <v>881013.41264365427</v>
      </c>
      <c r="E926" s="14">
        <f t="shared" si="59"/>
        <v>47992.948548688859</v>
      </c>
      <c r="F926" s="14">
        <f t="shared" si="56"/>
        <v>69589.775395600591</v>
      </c>
      <c r="H926" s="14" cm="1">
        <f t="array" ref="H926:K926">MMULT($C925:$F925,P_Matrix)</f>
        <v>989991.68652705813</v>
      </c>
      <c r="I926" s="14">
        <v>860136.48002496152</v>
      </c>
      <c r="J926" s="14">
        <v>47992.948548688859</v>
      </c>
      <c r="K926" s="14">
        <v>139179.55079119961</v>
      </c>
      <c r="M926" s="12">
        <f>MAX((Inputs!F$25*POWER(1+(Inputs!$C$3-(Inputs!$C$3*(('Steady State'!$A926-1)/Inputs!$C$4))),'Steady State'!$A926-1)),M925)</f>
        <v>48712.842776949758</v>
      </c>
      <c r="N926" s="12">
        <f>MAX((Inputs!G$25*POWER(1+(Inputs!$C$3-(Inputs!$C$3*(('Steady State'!$A926-1)/Inputs!$C$4))),'Steady State'!$A926-1)),N925)</f>
        <v>20876.932618692754</v>
      </c>
      <c r="O926" s="12">
        <v>0</v>
      </c>
      <c r="P926" s="12">
        <v>0</v>
      </c>
    </row>
    <row r="927" spans="1:16" x14ac:dyDescent="0.35">
      <c r="A927">
        <v>925</v>
      </c>
      <c r="C927" s="14">
        <f t="shared" si="57"/>
        <v>1038704.5293040226</v>
      </c>
      <c r="D927" s="14">
        <f t="shared" si="58"/>
        <v>881013.41264367884</v>
      </c>
      <c r="E927" s="14">
        <f t="shared" si="59"/>
        <v>47992.948548689936</v>
      </c>
      <c r="F927" s="14">
        <f t="shared" si="56"/>
        <v>69589.775395602075</v>
      </c>
      <c r="H927" s="14" cm="1">
        <f t="array" ref="H927:K927">MMULT($C926:$F926,P_Matrix)</f>
        <v>989991.6865270728</v>
      </c>
      <c r="I927" s="14">
        <v>860136.48002498609</v>
      </c>
      <c r="J927" s="14">
        <v>47992.948548689936</v>
      </c>
      <c r="K927" s="14">
        <v>139179.55079120267</v>
      </c>
      <c r="M927" s="12">
        <f>MAX((Inputs!F$25*POWER(1+(Inputs!$C$3-(Inputs!$C$3*(('Steady State'!$A927-1)/Inputs!$C$4))),'Steady State'!$A927-1)),M926)</f>
        <v>48712.842776949758</v>
      </c>
      <c r="N927" s="12">
        <f>MAX((Inputs!G$25*POWER(1+(Inputs!$C$3-(Inputs!$C$3*(('Steady State'!$A927-1)/Inputs!$C$4))),'Steady State'!$A927-1)),N926)</f>
        <v>20876.932618692754</v>
      </c>
      <c r="O927" s="12">
        <v>0</v>
      </c>
      <c r="P927" s="12">
        <v>0</v>
      </c>
    </row>
    <row r="928" spans="1:16" x14ac:dyDescent="0.35">
      <c r="A928">
        <v>926</v>
      </c>
      <c r="C928" s="14">
        <f t="shared" si="57"/>
        <v>1038704.5293040366</v>
      </c>
      <c r="D928" s="14">
        <f t="shared" si="58"/>
        <v>881013.41264370247</v>
      </c>
      <c r="E928" s="14">
        <f t="shared" si="59"/>
        <v>47992.948548690976</v>
      </c>
      <c r="F928" s="14">
        <f t="shared" si="56"/>
        <v>69589.77539560353</v>
      </c>
      <c r="H928" s="14" cm="1">
        <f t="array" ref="H928:K928">MMULT($C927:$F927,P_Matrix)</f>
        <v>989991.68652708689</v>
      </c>
      <c r="I928" s="14">
        <v>860136.48002500972</v>
      </c>
      <c r="J928" s="14">
        <v>47992.948548690976</v>
      </c>
      <c r="K928" s="14">
        <v>139179.55079120561</v>
      </c>
      <c r="M928" s="12">
        <f>MAX((Inputs!F$25*POWER(1+(Inputs!$C$3-(Inputs!$C$3*(('Steady State'!$A928-1)/Inputs!$C$4))),'Steady State'!$A928-1)),M927)</f>
        <v>48712.842776949758</v>
      </c>
      <c r="N928" s="12">
        <f>MAX((Inputs!G$25*POWER(1+(Inputs!$C$3-(Inputs!$C$3*(('Steady State'!$A928-1)/Inputs!$C$4))),'Steady State'!$A928-1)),N927)</f>
        <v>20876.932618692754</v>
      </c>
      <c r="O928" s="12">
        <v>0</v>
      </c>
      <c r="P928" s="12">
        <v>0</v>
      </c>
    </row>
    <row r="929" spans="1:16" x14ac:dyDescent="0.35">
      <c r="A929">
        <v>927</v>
      </c>
      <c r="C929" s="14">
        <f t="shared" si="57"/>
        <v>1038704.5293040503</v>
      </c>
      <c r="D929" s="14">
        <f t="shared" si="58"/>
        <v>881013.41264372529</v>
      </c>
      <c r="E929" s="14">
        <f t="shared" si="59"/>
        <v>47992.948548691973</v>
      </c>
      <c r="F929" s="14">
        <f t="shared" si="56"/>
        <v>69589.775395604927</v>
      </c>
      <c r="H929" s="14" cm="1">
        <f t="array" ref="H929:K929">MMULT($C928:$F928,P_Matrix)</f>
        <v>989991.68652710051</v>
      </c>
      <c r="I929" s="14">
        <v>860136.48002503254</v>
      </c>
      <c r="J929" s="14">
        <v>47992.948548691973</v>
      </c>
      <c r="K929" s="14">
        <v>139179.55079120846</v>
      </c>
      <c r="M929" s="12">
        <f>MAX((Inputs!F$25*POWER(1+(Inputs!$C$3-(Inputs!$C$3*(('Steady State'!$A929-1)/Inputs!$C$4))),'Steady State'!$A929-1)),M928)</f>
        <v>48712.842776949758</v>
      </c>
      <c r="N929" s="12">
        <f>MAX((Inputs!G$25*POWER(1+(Inputs!$C$3-(Inputs!$C$3*(('Steady State'!$A929-1)/Inputs!$C$4))),'Steady State'!$A929-1)),N928)</f>
        <v>20876.932618692754</v>
      </c>
      <c r="O929" s="12">
        <v>0</v>
      </c>
      <c r="P929" s="12">
        <v>0</v>
      </c>
    </row>
    <row r="930" spans="1:16" x14ac:dyDescent="0.35">
      <c r="A930">
        <v>928</v>
      </c>
      <c r="C930" s="14">
        <f t="shared" si="57"/>
        <v>1038704.5293040634</v>
      </c>
      <c r="D930" s="14">
        <f t="shared" si="58"/>
        <v>881013.41264374729</v>
      </c>
      <c r="E930" s="14">
        <f t="shared" si="59"/>
        <v>47992.948548692933</v>
      </c>
      <c r="F930" s="14">
        <f t="shared" si="56"/>
        <v>69589.775395606266</v>
      </c>
      <c r="H930" s="14" cm="1">
        <f t="array" ref="H930:K930">MMULT($C929:$F929,P_Matrix)</f>
        <v>989991.68652711366</v>
      </c>
      <c r="I930" s="14">
        <v>860136.48002505454</v>
      </c>
      <c r="J930" s="14">
        <v>47992.948548692933</v>
      </c>
      <c r="K930" s="14">
        <v>139179.55079121119</v>
      </c>
      <c r="M930" s="12">
        <f>MAX((Inputs!F$25*POWER(1+(Inputs!$C$3-(Inputs!$C$3*(('Steady State'!$A930-1)/Inputs!$C$4))),'Steady State'!$A930-1)),M929)</f>
        <v>48712.842776949758</v>
      </c>
      <c r="N930" s="12">
        <f>MAX((Inputs!G$25*POWER(1+(Inputs!$C$3-(Inputs!$C$3*(('Steady State'!$A930-1)/Inputs!$C$4))),'Steady State'!$A930-1)),N929)</f>
        <v>20876.932618692754</v>
      </c>
      <c r="O930" s="12">
        <v>0</v>
      </c>
      <c r="P930" s="12">
        <v>0</v>
      </c>
    </row>
    <row r="931" spans="1:16" x14ac:dyDescent="0.35">
      <c r="A931">
        <v>929</v>
      </c>
      <c r="C931" s="14">
        <f t="shared" si="57"/>
        <v>1038704.529304076</v>
      </c>
      <c r="D931" s="14">
        <f t="shared" si="58"/>
        <v>881013.41264376859</v>
      </c>
      <c r="E931" s="14">
        <f t="shared" si="59"/>
        <v>47992.948548693865</v>
      </c>
      <c r="F931" s="14">
        <f t="shared" si="56"/>
        <v>69589.775395607547</v>
      </c>
      <c r="H931" s="14" cm="1">
        <f t="array" ref="H931:K931">MMULT($C930:$F930,P_Matrix)</f>
        <v>989991.68652712624</v>
      </c>
      <c r="I931" s="14">
        <v>860136.48002507584</v>
      </c>
      <c r="J931" s="14">
        <v>47992.948548693865</v>
      </c>
      <c r="K931" s="14">
        <v>139179.55079121381</v>
      </c>
      <c r="M931" s="12">
        <f>MAX((Inputs!F$25*POWER(1+(Inputs!$C$3-(Inputs!$C$3*(('Steady State'!$A931-1)/Inputs!$C$4))),'Steady State'!$A931-1)),M930)</f>
        <v>48712.842776949758</v>
      </c>
      <c r="N931" s="12">
        <f>MAX((Inputs!G$25*POWER(1+(Inputs!$C$3-(Inputs!$C$3*(('Steady State'!$A931-1)/Inputs!$C$4))),'Steady State'!$A931-1)),N930)</f>
        <v>20876.932618692754</v>
      </c>
      <c r="O931" s="12">
        <v>0</v>
      </c>
      <c r="P931" s="12">
        <v>0</v>
      </c>
    </row>
    <row r="932" spans="1:16" x14ac:dyDescent="0.35">
      <c r="A932">
        <v>930</v>
      </c>
      <c r="C932" s="14">
        <f t="shared" si="57"/>
        <v>1038704.5293040882</v>
      </c>
      <c r="D932" s="14">
        <f t="shared" si="58"/>
        <v>881013.41264378908</v>
      </c>
      <c r="E932" s="14">
        <f t="shared" si="59"/>
        <v>47992.948548694767</v>
      </c>
      <c r="F932" s="14">
        <f t="shared" si="56"/>
        <v>69589.775395608798</v>
      </c>
      <c r="H932" s="14" cm="1">
        <f t="array" ref="H932:K932">MMULT($C931:$F931,P_Matrix)</f>
        <v>989991.68652713846</v>
      </c>
      <c r="I932" s="14">
        <v>860136.48002509633</v>
      </c>
      <c r="J932" s="14">
        <v>47992.948548694767</v>
      </c>
      <c r="K932" s="14">
        <v>139179.55079121634</v>
      </c>
      <c r="M932" s="12">
        <f>MAX((Inputs!F$25*POWER(1+(Inputs!$C$3-(Inputs!$C$3*(('Steady State'!$A932-1)/Inputs!$C$4))),'Steady State'!$A932-1)),M931)</f>
        <v>48712.842776949758</v>
      </c>
      <c r="N932" s="12">
        <f>MAX((Inputs!G$25*POWER(1+(Inputs!$C$3-(Inputs!$C$3*(('Steady State'!$A932-1)/Inputs!$C$4))),'Steady State'!$A932-1)),N931)</f>
        <v>20876.932618692754</v>
      </c>
      <c r="O932" s="12">
        <v>0</v>
      </c>
      <c r="P932" s="12">
        <v>0</v>
      </c>
    </row>
    <row r="933" spans="1:16" x14ac:dyDescent="0.35">
      <c r="A933">
        <v>931</v>
      </c>
      <c r="C933" s="14">
        <f t="shared" si="57"/>
        <v>1038704.5293041001</v>
      </c>
      <c r="D933" s="14">
        <f t="shared" si="58"/>
        <v>881013.41264380876</v>
      </c>
      <c r="E933" s="14">
        <f t="shared" si="59"/>
        <v>47992.948548695633</v>
      </c>
      <c r="F933" s="14">
        <f t="shared" si="56"/>
        <v>69589.77539561002</v>
      </c>
      <c r="H933" s="14" cm="1">
        <f t="array" ref="H933:K933">MMULT($C932:$F932,P_Matrix)</f>
        <v>989991.68652715033</v>
      </c>
      <c r="I933" s="14">
        <v>860136.480025116</v>
      </c>
      <c r="J933" s="14">
        <v>47992.948548695633</v>
      </c>
      <c r="K933" s="14">
        <v>139179.55079121882</v>
      </c>
      <c r="M933" s="12">
        <f>MAX((Inputs!F$25*POWER(1+(Inputs!$C$3-(Inputs!$C$3*(('Steady State'!$A933-1)/Inputs!$C$4))),'Steady State'!$A933-1)),M932)</f>
        <v>48712.842776949758</v>
      </c>
      <c r="N933" s="12">
        <f>MAX((Inputs!G$25*POWER(1+(Inputs!$C$3-(Inputs!$C$3*(('Steady State'!$A933-1)/Inputs!$C$4))),'Steady State'!$A933-1)),N932)</f>
        <v>20876.932618692754</v>
      </c>
      <c r="O933" s="12">
        <v>0</v>
      </c>
      <c r="P933" s="12">
        <v>0</v>
      </c>
    </row>
    <row r="934" spans="1:16" x14ac:dyDescent="0.35">
      <c r="A934">
        <v>932</v>
      </c>
      <c r="C934" s="14">
        <f t="shared" si="57"/>
        <v>1038704.5293041115</v>
      </c>
      <c r="D934" s="14">
        <f t="shared" si="58"/>
        <v>881013.41264382785</v>
      </c>
      <c r="E934" s="14">
        <f t="shared" si="59"/>
        <v>47992.94854869647</v>
      </c>
      <c r="F934" s="14">
        <f t="shared" si="56"/>
        <v>69589.775395611185</v>
      </c>
      <c r="H934" s="14" cm="1">
        <f t="array" ref="H934:K934">MMULT($C933:$F933,P_Matrix)</f>
        <v>989991.68652716174</v>
      </c>
      <c r="I934" s="14">
        <v>860136.4800251351</v>
      </c>
      <c r="J934" s="14">
        <v>47992.94854869647</v>
      </c>
      <c r="K934" s="14">
        <v>139179.55079122121</v>
      </c>
      <c r="M934" s="12">
        <f>MAX((Inputs!F$25*POWER(1+(Inputs!$C$3-(Inputs!$C$3*(('Steady State'!$A934-1)/Inputs!$C$4))),'Steady State'!$A934-1)),M933)</f>
        <v>48712.842776949758</v>
      </c>
      <c r="N934" s="12">
        <f>MAX((Inputs!G$25*POWER(1+(Inputs!$C$3-(Inputs!$C$3*(('Steady State'!$A934-1)/Inputs!$C$4))),'Steady State'!$A934-1)),N933)</f>
        <v>20876.932618692754</v>
      </c>
      <c r="O934" s="12">
        <v>0</v>
      </c>
      <c r="P934" s="12">
        <v>0</v>
      </c>
    </row>
    <row r="935" spans="1:16" x14ac:dyDescent="0.35">
      <c r="A935">
        <v>933</v>
      </c>
      <c r="C935" s="14">
        <f t="shared" si="57"/>
        <v>1038704.5293041224</v>
      </c>
      <c r="D935" s="14">
        <f t="shared" si="58"/>
        <v>881013.41264384612</v>
      </c>
      <c r="E935" s="14">
        <f t="shared" si="59"/>
        <v>47992.948548697277</v>
      </c>
      <c r="F935" s="14">
        <f t="shared" si="56"/>
        <v>69589.775395612291</v>
      </c>
      <c r="H935" s="14" cm="1">
        <f t="array" ref="H935:K935">MMULT($C934:$F934,P_Matrix)</f>
        <v>989991.68652717269</v>
      </c>
      <c r="I935" s="14">
        <v>860136.48002515337</v>
      </c>
      <c r="J935" s="14">
        <v>47992.948548697277</v>
      </c>
      <c r="K935" s="14">
        <v>139179.55079122348</v>
      </c>
      <c r="M935" s="12">
        <f>MAX((Inputs!F$25*POWER(1+(Inputs!$C$3-(Inputs!$C$3*(('Steady State'!$A935-1)/Inputs!$C$4))),'Steady State'!$A935-1)),M934)</f>
        <v>48712.842776949758</v>
      </c>
      <c r="N935" s="12">
        <f>MAX((Inputs!G$25*POWER(1+(Inputs!$C$3-(Inputs!$C$3*(('Steady State'!$A935-1)/Inputs!$C$4))),'Steady State'!$A935-1)),N934)</f>
        <v>20876.932618692754</v>
      </c>
      <c r="O935" s="12">
        <v>0</v>
      </c>
      <c r="P935" s="12">
        <v>0</v>
      </c>
    </row>
    <row r="936" spans="1:16" x14ac:dyDescent="0.35">
      <c r="A936">
        <v>934</v>
      </c>
      <c r="C936" s="14">
        <f t="shared" si="57"/>
        <v>1038704.5293041329</v>
      </c>
      <c r="D936" s="14">
        <f t="shared" si="58"/>
        <v>881013.41264386382</v>
      </c>
      <c r="E936" s="14">
        <f t="shared" si="59"/>
        <v>47992.948548698056</v>
      </c>
      <c r="F936" s="14">
        <f t="shared" si="56"/>
        <v>69589.775395613367</v>
      </c>
      <c r="H936" s="14" cm="1">
        <f t="array" ref="H936:K936">MMULT($C935:$F935,P_Matrix)</f>
        <v>989991.68652718316</v>
      </c>
      <c r="I936" s="14">
        <v>860136.48002517107</v>
      </c>
      <c r="J936" s="14">
        <v>47992.948548698056</v>
      </c>
      <c r="K936" s="14">
        <v>139179.55079122566</v>
      </c>
      <c r="M936" s="12">
        <f>MAX((Inputs!F$25*POWER(1+(Inputs!$C$3-(Inputs!$C$3*(('Steady State'!$A936-1)/Inputs!$C$4))),'Steady State'!$A936-1)),M935)</f>
        <v>48712.842776949758</v>
      </c>
      <c r="N936" s="12">
        <f>MAX((Inputs!G$25*POWER(1+(Inputs!$C$3-(Inputs!$C$3*(('Steady State'!$A936-1)/Inputs!$C$4))),'Steady State'!$A936-1)),N935)</f>
        <v>20876.932618692754</v>
      </c>
      <c r="O936" s="12">
        <v>0</v>
      </c>
      <c r="P936" s="12">
        <v>0</v>
      </c>
    </row>
    <row r="937" spans="1:16" x14ac:dyDescent="0.35">
      <c r="A937">
        <v>935</v>
      </c>
      <c r="C937" s="14">
        <f t="shared" si="57"/>
        <v>1038704.5293041432</v>
      </c>
      <c r="D937" s="14">
        <f t="shared" si="58"/>
        <v>881013.41264388093</v>
      </c>
      <c r="E937" s="14">
        <f t="shared" si="59"/>
        <v>47992.948548698798</v>
      </c>
      <c r="F937" s="14">
        <f t="shared" si="56"/>
        <v>69589.775395614415</v>
      </c>
      <c r="H937" s="14" cm="1">
        <f t="array" ref="H937:K937">MMULT($C936:$F936,P_Matrix)</f>
        <v>989991.68652719341</v>
      </c>
      <c r="I937" s="14">
        <v>860136.48002518818</v>
      </c>
      <c r="J937" s="14">
        <v>47992.948548698798</v>
      </c>
      <c r="K937" s="14">
        <v>139179.55079122778</v>
      </c>
      <c r="M937" s="12">
        <f>MAX((Inputs!F$25*POWER(1+(Inputs!$C$3-(Inputs!$C$3*(('Steady State'!$A937-1)/Inputs!$C$4))),'Steady State'!$A937-1)),M936)</f>
        <v>48712.842776949758</v>
      </c>
      <c r="N937" s="12">
        <f>MAX((Inputs!G$25*POWER(1+(Inputs!$C$3-(Inputs!$C$3*(('Steady State'!$A937-1)/Inputs!$C$4))),'Steady State'!$A937-1)),N936)</f>
        <v>20876.932618692754</v>
      </c>
      <c r="O937" s="12">
        <v>0</v>
      </c>
      <c r="P937" s="12">
        <v>0</v>
      </c>
    </row>
    <row r="938" spans="1:16" x14ac:dyDescent="0.35">
      <c r="A938">
        <v>936</v>
      </c>
      <c r="C938" s="14">
        <f t="shared" si="57"/>
        <v>1038704.5293041528</v>
      </c>
      <c r="D938" s="14">
        <f t="shared" si="58"/>
        <v>881013.41264389746</v>
      </c>
      <c r="E938" s="14">
        <f t="shared" si="59"/>
        <v>47992.948548699525</v>
      </c>
      <c r="F938" s="14">
        <f t="shared" si="56"/>
        <v>69589.775395615405</v>
      </c>
      <c r="H938" s="14" cm="1">
        <f t="array" ref="H938:K938">MMULT($C937:$F937,P_Matrix)</f>
        <v>989991.68652720307</v>
      </c>
      <c r="I938" s="14">
        <v>860136.48002520471</v>
      </c>
      <c r="J938" s="14">
        <v>47992.948548699525</v>
      </c>
      <c r="K938" s="14">
        <v>139179.55079122982</v>
      </c>
      <c r="M938" s="12">
        <f>MAX((Inputs!F$25*POWER(1+(Inputs!$C$3-(Inputs!$C$3*(('Steady State'!$A938-1)/Inputs!$C$4))),'Steady State'!$A938-1)),M937)</f>
        <v>48712.842776949758</v>
      </c>
      <c r="N938" s="12">
        <f>MAX((Inputs!G$25*POWER(1+(Inputs!$C$3-(Inputs!$C$3*(('Steady State'!$A938-1)/Inputs!$C$4))),'Steady State'!$A938-1)),N937)</f>
        <v>20876.932618692754</v>
      </c>
      <c r="O938" s="12">
        <v>0</v>
      </c>
      <c r="P938" s="12">
        <v>0</v>
      </c>
    </row>
    <row r="939" spans="1:16" x14ac:dyDescent="0.35">
      <c r="A939">
        <v>937</v>
      </c>
      <c r="C939" s="14">
        <f t="shared" si="57"/>
        <v>1038704.5293041622</v>
      </c>
      <c r="D939" s="14">
        <f t="shared" si="58"/>
        <v>881013.4126439133</v>
      </c>
      <c r="E939" s="14">
        <f t="shared" si="59"/>
        <v>47992.948548700224</v>
      </c>
      <c r="F939" s="14">
        <f t="shared" si="56"/>
        <v>69589.775395616394</v>
      </c>
      <c r="H939" s="14" cm="1">
        <f t="array" ref="H939:K939">MMULT($C938:$F938,P_Matrix)</f>
        <v>989991.6865272125</v>
      </c>
      <c r="I939" s="14">
        <v>860136.48002522055</v>
      </c>
      <c r="J939" s="14">
        <v>47992.948548700224</v>
      </c>
      <c r="K939" s="14">
        <v>139179.5507912318</v>
      </c>
      <c r="M939" s="12">
        <f>MAX((Inputs!F$25*POWER(1+(Inputs!$C$3-(Inputs!$C$3*(('Steady State'!$A939-1)/Inputs!$C$4))),'Steady State'!$A939-1)),M938)</f>
        <v>48712.842776949758</v>
      </c>
      <c r="N939" s="12">
        <f>MAX((Inputs!G$25*POWER(1+(Inputs!$C$3-(Inputs!$C$3*(('Steady State'!$A939-1)/Inputs!$C$4))),'Steady State'!$A939-1)),N938)</f>
        <v>20876.932618692754</v>
      </c>
      <c r="O939" s="12">
        <v>0</v>
      </c>
      <c r="P939" s="12">
        <v>0</v>
      </c>
    </row>
    <row r="940" spans="1:16" x14ac:dyDescent="0.35">
      <c r="A940">
        <v>938</v>
      </c>
      <c r="C940" s="14">
        <f t="shared" si="57"/>
        <v>1038704.5293041713</v>
      </c>
      <c r="D940" s="14">
        <f t="shared" si="58"/>
        <v>881013.41264392866</v>
      </c>
      <c r="E940" s="14">
        <f t="shared" si="59"/>
        <v>47992.948548700893</v>
      </c>
      <c r="F940" s="14">
        <f t="shared" si="56"/>
        <v>69589.775395617326</v>
      </c>
      <c r="H940" s="14" cm="1">
        <f t="array" ref="H940:K940">MMULT($C939:$F939,P_Matrix)</f>
        <v>989991.68652722158</v>
      </c>
      <c r="I940" s="14">
        <v>860136.48002523591</v>
      </c>
      <c r="J940" s="14">
        <v>47992.948548700893</v>
      </c>
      <c r="K940" s="14">
        <v>139179.55079123372</v>
      </c>
      <c r="M940" s="12">
        <f>MAX((Inputs!F$25*POWER(1+(Inputs!$C$3-(Inputs!$C$3*(('Steady State'!$A940-1)/Inputs!$C$4))),'Steady State'!$A940-1)),M939)</f>
        <v>48712.842776949758</v>
      </c>
      <c r="N940" s="12">
        <f>MAX((Inputs!G$25*POWER(1+(Inputs!$C$3-(Inputs!$C$3*(('Steady State'!$A940-1)/Inputs!$C$4))),'Steady State'!$A940-1)),N939)</f>
        <v>20876.932618692754</v>
      </c>
      <c r="O940" s="12">
        <v>0</v>
      </c>
      <c r="P940" s="12">
        <v>0</v>
      </c>
    </row>
    <row r="941" spans="1:16" x14ac:dyDescent="0.35">
      <c r="A941">
        <v>939</v>
      </c>
      <c r="C941" s="14">
        <f t="shared" si="57"/>
        <v>1038704.5293041802</v>
      </c>
      <c r="D941" s="14">
        <f t="shared" si="58"/>
        <v>881013.41264394345</v>
      </c>
      <c r="E941" s="14">
        <f t="shared" si="59"/>
        <v>47992.948548701534</v>
      </c>
      <c r="F941" s="14">
        <f t="shared" si="56"/>
        <v>69589.775395618228</v>
      </c>
      <c r="H941" s="14" cm="1">
        <f t="array" ref="H941:K941">MMULT($C940:$F940,P_Matrix)</f>
        <v>989991.68652723043</v>
      </c>
      <c r="I941" s="14">
        <v>860136.4800252507</v>
      </c>
      <c r="J941" s="14">
        <v>47992.948548701534</v>
      </c>
      <c r="K941" s="14">
        <v>139179.55079123555</v>
      </c>
      <c r="M941" s="12">
        <f>MAX((Inputs!F$25*POWER(1+(Inputs!$C$3-(Inputs!$C$3*(('Steady State'!$A941-1)/Inputs!$C$4))),'Steady State'!$A941-1)),M940)</f>
        <v>48712.842776949758</v>
      </c>
      <c r="N941" s="12">
        <f>MAX((Inputs!G$25*POWER(1+(Inputs!$C$3-(Inputs!$C$3*(('Steady State'!$A941-1)/Inputs!$C$4))),'Steady State'!$A941-1)),N940)</f>
        <v>20876.932618692754</v>
      </c>
      <c r="O941" s="12">
        <v>0</v>
      </c>
      <c r="P941" s="12">
        <v>0</v>
      </c>
    </row>
    <row r="942" spans="1:16" x14ac:dyDescent="0.35">
      <c r="A942">
        <v>940</v>
      </c>
      <c r="C942" s="14">
        <f t="shared" si="57"/>
        <v>1038704.5293041887</v>
      </c>
      <c r="D942" s="14">
        <f t="shared" si="58"/>
        <v>881013.41264395765</v>
      </c>
      <c r="E942" s="14">
        <f t="shared" si="59"/>
        <v>47992.948548702159</v>
      </c>
      <c r="F942" s="14">
        <f t="shared" si="56"/>
        <v>69589.775395619101</v>
      </c>
      <c r="H942" s="14" cm="1">
        <f t="array" ref="H942:K942">MMULT($C941:$F941,P_Matrix)</f>
        <v>989991.68652723893</v>
      </c>
      <c r="I942" s="14">
        <v>860136.4800252649</v>
      </c>
      <c r="J942" s="14">
        <v>47992.948548702159</v>
      </c>
      <c r="K942" s="14">
        <v>139179.55079123733</v>
      </c>
      <c r="M942" s="12">
        <f>MAX((Inputs!F$25*POWER(1+(Inputs!$C$3-(Inputs!$C$3*(('Steady State'!$A942-1)/Inputs!$C$4))),'Steady State'!$A942-1)),M941)</f>
        <v>48712.842776949758</v>
      </c>
      <c r="N942" s="12">
        <f>MAX((Inputs!G$25*POWER(1+(Inputs!$C$3-(Inputs!$C$3*(('Steady State'!$A942-1)/Inputs!$C$4))),'Steady State'!$A942-1)),N941)</f>
        <v>20876.932618692754</v>
      </c>
      <c r="O942" s="12">
        <v>0</v>
      </c>
      <c r="P942" s="12">
        <v>0</v>
      </c>
    </row>
    <row r="943" spans="1:16" x14ac:dyDescent="0.35">
      <c r="A943">
        <v>941</v>
      </c>
      <c r="C943" s="14">
        <f t="shared" si="57"/>
        <v>1038704.5293041968</v>
      </c>
      <c r="D943" s="14">
        <f t="shared" si="58"/>
        <v>881013.4126439715</v>
      </c>
      <c r="E943" s="14">
        <f t="shared" si="59"/>
        <v>47992.948548702756</v>
      </c>
      <c r="F943" s="14">
        <f t="shared" si="56"/>
        <v>69589.775395619916</v>
      </c>
      <c r="H943" s="14" cm="1">
        <f t="array" ref="H943:K943">MMULT($C942:$F942,P_Matrix)</f>
        <v>989991.68652724707</v>
      </c>
      <c r="I943" s="14">
        <v>860136.48002527875</v>
      </c>
      <c r="J943" s="14">
        <v>47992.948548702756</v>
      </c>
      <c r="K943" s="14">
        <v>139179.55079123902</v>
      </c>
      <c r="M943" s="12">
        <f>MAX((Inputs!F$25*POWER(1+(Inputs!$C$3-(Inputs!$C$3*(('Steady State'!$A943-1)/Inputs!$C$4))),'Steady State'!$A943-1)),M942)</f>
        <v>48712.842776949758</v>
      </c>
      <c r="N943" s="12">
        <f>MAX((Inputs!G$25*POWER(1+(Inputs!$C$3-(Inputs!$C$3*(('Steady State'!$A943-1)/Inputs!$C$4))),'Steady State'!$A943-1)),N942)</f>
        <v>20876.932618692754</v>
      </c>
      <c r="O943" s="12">
        <v>0</v>
      </c>
      <c r="P943" s="12">
        <v>0</v>
      </c>
    </row>
    <row r="944" spans="1:16" x14ac:dyDescent="0.35">
      <c r="A944">
        <v>942</v>
      </c>
      <c r="C944" s="14">
        <f t="shared" si="57"/>
        <v>1038704.5293042047</v>
      </c>
      <c r="D944" s="14">
        <f t="shared" si="58"/>
        <v>881013.41264398478</v>
      </c>
      <c r="E944" s="14">
        <f t="shared" si="59"/>
        <v>47992.948548703338</v>
      </c>
      <c r="F944" s="14">
        <f t="shared" si="56"/>
        <v>69589.775395620731</v>
      </c>
      <c r="H944" s="14" cm="1">
        <f t="array" ref="H944:K944">MMULT($C943:$F943,P_Matrix)</f>
        <v>989991.68652725499</v>
      </c>
      <c r="I944" s="14">
        <v>860136.48002529202</v>
      </c>
      <c r="J944" s="14">
        <v>47992.948548703338</v>
      </c>
      <c r="K944" s="14">
        <v>139179.55079124065</v>
      </c>
      <c r="M944" s="12">
        <f>MAX((Inputs!F$25*POWER(1+(Inputs!$C$3-(Inputs!$C$3*(('Steady State'!$A944-1)/Inputs!$C$4))),'Steady State'!$A944-1)),M943)</f>
        <v>48712.842776949758</v>
      </c>
      <c r="N944" s="12">
        <f>MAX((Inputs!G$25*POWER(1+(Inputs!$C$3-(Inputs!$C$3*(('Steady State'!$A944-1)/Inputs!$C$4))),'Steady State'!$A944-1)),N943)</f>
        <v>20876.932618692754</v>
      </c>
      <c r="O944" s="12">
        <v>0</v>
      </c>
      <c r="P944" s="12">
        <v>0</v>
      </c>
    </row>
    <row r="945" spans="1:16" x14ac:dyDescent="0.35">
      <c r="A945">
        <v>943</v>
      </c>
      <c r="C945" s="14">
        <f t="shared" si="57"/>
        <v>1038704.5293042123</v>
      </c>
      <c r="D945" s="14">
        <f t="shared" si="58"/>
        <v>881013.41264399746</v>
      </c>
      <c r="E945" s="14">
        <f t="shared" si="59"/>
        <v>47992.948548703891</v>
      </c>
      <c r="F945" s="14">
        <f t="shared" si="56"/>
        <v>69589.775395621517</v>
      </c>
      <c r="H945" s="14" cm="1">
        <f t="array" ref="H945:K945">MMULT($C944:$F944,P_Matrix)</f>
        <v>989991.68652726256</v>
      </c>
      <c r="I945" s="14">
        <v>860136.48002530471</v>
      </c>
      <c r="J945" s="14">
        <v>47992.948548703891</v>
      </c>
      <c r="K945" s="14">
        <v>139179.55079124225</v>
      </c>
      <c r="M945" s="12">
        <f>MAX((Inputs!F$25*POWER(1+(Inputs!$C$3-(Inputs!$C$3*(('Steady State'!$A945-1)/Inputs!$C$4))),'Steady State'!$A945-1)),M944)</f>
        <v>48712.842776949758</v>
      </c>
      <c r="N945" s="12">
        <f>MAX((Inputs!G$25*POWER(1+(Inputs!$C$3-(Inputs!$C$3*(('Steady State'!$A945-1)/Inputs!$C$4))),'Steady State'!$A945-1)),N944)</f>
        <v>20876.932618692754</v>
      </c>
      <c r="O945" s="12">
        <v>0</v>
      </c>
      <c r="P945" s="12">
        <v>0</v>
      </c>
    </row>
    <row r="946" spans="1:16" x14ac:dyDescent="0.35">
      <c r="A946">
        <v>944</v>
      </c>
      <c r="C946" s="14">
        <f t="shared" si="57"/>
        <v>1038704.5293042196</v>
      </c>
      <c r="D946" s="14">
        <f t="shared" si="58"/>
        <v>881013.41264400969</v>
      </c>
      <c r="E946" s="14">
        <f t="shared" si="59"/>
        <v>47992.948548704429</v>
      </c>
      <c r="F946" s="14">
        <f t="shared" si="56"/>
        <v>69589.775395622273</v>
      </c>
      <c r="H946" s="14" cm="1">
        <f t="array" ref="H946:K946">MMULT($C945:$F945,P_Matrix)</f>
        <v>989991.68652726989</v>
      </c>
      <c r="I946" s="14">
        <v>860136.48002531694</v>
      </c>
      <c r="J946" s="14">
        <v>47992.948548704429</v>
      </c>
      <c r="K946" s="14">
        <v>139179.55079124379</v>
      </c>
      <c r="M946" s="12">
        <f>MAX((Inputs!F$25*POWER(1+(Inputs!$C$3-(Inputs!$C$3*(('Steady State'!$A946-1)/Inputs!$C$4))),'Steady State'!$A946-1)),M945)</f>
        <v>48712.842776949758</v>
      </c>
      <c r="N946" s="12">
        <f>MAX((Inputs!G$25*POWER(1+(Inputs!$C$3-(Inputs!$C$3*(('Steady State'!$A946-1)/Inputs!$C$4))),'Steady State'!$A946-1)),N945)</f>
        <v>20876.932618692754</v>
      </c>
      <c r="O946" s="12">
        <v>0</v>
      </c>
      <c r="P946" s="12">
        <v>0</v>
      </c>
    </row>
    <row r="947" spans="1:16" x14ac:dyDescent="0.35">
      <c r="A947">
        <v>945</v>
      </c>
      <c r="C947" s="14">
        <f t="shared" si="57"/>
        <v>1038704.5293042266</v>
      </c>
      <c r="D947" s="14">
        <f t="shared" si="58"/>
        <v>881013.41264402156</v>
      </c>
      <c r="E947" s="14">
        <f t="shared" si="59"/>
        <v>47992.948548704953</v>
      </c>
      <c r="F947" s="14">
        <f t="shared" si="56"/>
        <v>69589.775395622972</v>
      </c>
      <c r="H947" s="14" cm="1">
        <f t="array" ref="H947:K947">MMULT($C946:$F946,P_Matrix)</f>
        <v>989991.68652727688</v>
      </c>
      <c r="I947" s="14">
        <v>860136.48002532881</v>
      </c>
      <c r="J947" s="14">
        <v>47992.948548704953</v>
      </c>
      <c r="K947" s="14">
        <v>139179.55079124524</v>
      </c>
      <c r="M947" s="12">
        <f>MAX((Inputs!F$25*POWER(1+(Inputs!$C$3-(Inputs!$C$3*(('Steady State'!$A947-1)/Inputs!$C$4))),'Steady State'!$A947-1)),M946)</f>
        <v>48712.842776949758</v>
      </c>
      <c r="N947" s="12">
        <f>MAX((Inputs!G$25*POWER(1+(Inputs!$C$3-(Inputs!$C$3*(('Steady State'!$A947-1)/Inputs!$C$4))),'Steady State'!$A947-1)),N946)</f>
        <v>20876.932618692754</v>
      </c>
      <c r="O947" s="12">
        <v>0</v>
      </c>
      <c r="P947" s="12">
        <v>0</v>
      </c>
    </row>
    <row r="948" spans="1:16" x14ac:dyDescent="0.35">
      <c r="A948">
        <v>946</v>
      </c>
      <c r="C948" s="14">
        <f t="shared" si="57"/>
        <v>1038704.5293042335</v>
      </c>
      <c r="D948" s="14">
        <f t="shared" si="58"/>
        <v>881013.41264403297</v>
      </c>
      <c r="E948" s="14">
        <f t="shared" si="59"/>
        <v>47992.948548705455</v>
      </c>
      <c r="F948" s="14">
        <f t="shared" si="56"/>
        <v>69589.77539562367</v>
      </c>
      <c r="H948" s="14" cm="1">
        <f t="array" ref="H948:K948">MMULT($C947:$F947,P_Matrix)</f>
        <v>989991.68652728375</v>
      </c>
      <c r="I948" s="14">
        <v>860136.48002534022</v>
      </c>
      <c r="J948" s="14">
        <v>47992.948548705455</v>
      </c>
      <c r="K948" s="14">
        <v>139179.55079124664</v>
      </c>
      <c r="M948" s="12">
        <f>MAX((Inputs!F$25*POWER(1+(Inputs!$C$3-(Inputs!$C$3*(('Steady State'!$A948-1)/Inputs!$C$4))),'Steady State'!$A948-1)),M947)</f>
        <v>48712.842776949758</v>
      </c>
      <c r="N948" s="12">
        <f>MAX((Inputs!G$25*POWER(1+(Inputs!$C$3-(Inputs!$C$3*(('Steady State'!$A948-1)/Inputs!$C$4))),'Steady State'!$A948-1)),N947)</f>
        <v>20876.932618692754</v>
      </c>
      <c r="O948" s="12">
        <v>0</v>
      </c>
      <c r="P948" s="12">
        <v>0</v>
      </c>
    </row>
    <row r="949" spans="1:16" x14ac:dyDescent="0.35">
      <c r="A949">
        <v>947</v>
      </c>
      <c r="C949" s="14">
        <f t="shared" si="57"/>
        <v>1038704.52930424</v>
      </c>
      <c r="D949" s="14">
        <f t="shared" si="58"/>
        <v>881013.41264404391</v>
      </c>
      <c r="E949" s="14">
        <f t="shared" si="59"/>
        <v>47992.948548705943</v>
      </c>
      <c r="F949" s="14">
        <f t="shared" si="56"/>
        <v>69589.775395624369</v>
      </c>
      <c r="H949" s="14" cm="1">
        <f t="array" ref="H949:K949">MMULT($C948:$F948,P_Matrix)</f>
        <v>989991.68652729027</v>
      </c>
      <c r="I949" s="14">
        <v>860136.48002535116</v>
      </c>
      <c r="J949" s="14">
        <v>47992.948548705943</v>
      </c>
      <c r="K949" s="14">
        <v>139179.55079124804</v>
      </c>
      <c r="M949" s="12">
        <f>MAX((Inputs!F$25*POWER(1+(Inputs!$C$3-(Inputs!$C$3*(('Steady State'!$A949-1)/Inputs!$C$4))),'Steady State'!$A949-1)),M948)</f>
        <v>48712.842776949758</v>
      </c>
      <c r="N949" s="12">
        <f>MAX((Inputs!G$25*POWER(1+(Inputs!$C$3-(Inputs!$C$3*(('Steady State'!$A949-1)/Inputs!$C$4))),'Steady State'!$A949-1)),N948)</f>
        <v>20876.932618692754</v>
      </c>
      <c r="O949" s="12">
        <v>0</v>
      </c>
      <c r="P949" s="12">
        <v>0</v>
      </c>
    </row>
    <row r="950" spans="1:16" x14ac:dyDescent="0.35">
      <c r="A950">
        <v>948</v>
      </c>
      <c r="C950" s="14">
        <f t="shared" si="57"/>
        <v>1038704.5293042463</v>
      </c>
      <c r="D950" s="14">
        <f t="shared" si="58"/>
        <v>881013.41264405451</v>
      </c>
      <c r="E950" s="14">
        <f t="shared" si="59"/>
        <v>47992.948548706408</v>
      </c>
      <c r="F950" s="14">
        <f t="shared" si="56"/>
        <v>69589.775395625009</v>
      </c>
      <c r="H950" s="14" cm="1">
        <f t="array" ref="H950:K950">MMULT($C949:$F949,P_Matrix)</f>
        <v>989991.68652729655</v>
      </c>
      <c r="I950" s="14">
        <v>860136.48002536176</v>
      </c>
      <c r="J950" s="14">
        <v>47992.948548706408</v>
      </c>
      <c r="K950" s="14">
        <v>139179.55079124938</v>
      </c>
      <c r="M950" s="12">
        <f>MAX((Inputs!F$25*POWER(1+(Inputs!$C$3-(Inputs!$C$3*(('Steady State'!$A950-1)/Inputs!$C$4))),'Steady State'!$A950-1)),M949)</f>
        <v>48712.842776949758</v>
      </c>
      <c r="N950" s="12">
        <f>MAX((Inputs!G$25*POWER(1+(Inputs!$C$3-(Inputs!$C$3*(('Steady State'!$A950-1)/Inputs!$C$4))),'Steady State'!$A950-1)),N949)</f>
        <v>20876.932618692754</v>
      </c>
      <c r="O950" s="12">
        <v>0</v>
      </c>
      <c r="P950" s="12">
        <v>0</v>
      </c>
    </row>
    <row r="951" spans="1:16" x14ac:dyDescent="0.35">
      <c r="A951">
        <v>949</v>
      </c>
      <c r="C951" s="14">
        <f t="shared" si="57"/>
        <v>1038704.5293042524</v>
      </c>
      <c r="D951" s="14">
        <f t="shared" si="58"/>
        <v>881013.41264406464</v>
      </c>
      <c r="E951" s="14">
        <f t="shared" si="59"/>
        <v>47992.948548706852</v>
      </c>
      <c r="F951" s="14">
        <f t="shared" si="56"/>
        <v>69589.77539562562</v>
      </c>
      <c r="H951" s="14" cm="1">
        <f t="array" ref="H951:K951">MMULT($C950:$F950,P_Matrix)</f>
        <v>989991.68652730261</v>
      </c>
      <c r="I951" s="14">
        <v>860136.48002537189</v>
      </c>
      <c r="J951" s="14">
        <v>47992.948548706852</v>
      </c>
      <c r="K951" s="14">
        <v>139179.55079125063</v>
      </c>
      <c r="M951" s="12">
        <f>MAX((Inputs!F$25*POWER(1+(Inputs!$C$3-(Inputs!$C$3*(('Steady State'!$A951-1)/Inputs!$C$4))),'Steady State'!$A951-1)),M950)</f>
        <v>48712.842776949758</v>
      </c>
      <c r="N951" s="12">
        <f>MAX((Inputs!G$25*POWER(1+(Inputs!$C$3-(Inputs!$C$3*(('Steady State'!$A951-1)/Inputs!$C$4))),'Steady State'!$A951-1)),N950)</f>
        <v>20876.932618692754</v>
      </c>
      <c r="O951" s="12">
        <v>0</v>
      </c>
      <c r="P951" s="12">
        <v>0</v>
      </c>
    </row>
    <row r="952" spans="1:16" x14ac:dyDescent="0.35">
      <c r="A952">
        <v>950</v>
      </c>
      <c r="C952" s="14">
        <f t="shared" si="57"/>
        <v>1038704.5293042582</v>
      </c>
      <c r="D952" s="14">
        <f t="shared" si="58"/>
        <v>881013.41264407465</v>
      </c>
      <c r="E952" s="14">
        <f t="shared" si="59"/>
        <v>47992.948548707282</v>
      </c>
      <c r="F952" s="14">
        <f t="shared" si="56"/>
        <v>69589.775395626202</v>
      </c>
      <c r="H952" s="14" cm="1">
        <f t="array" ref="H952:K952">MMULT($C951:$F951,P_Matrix)</f>
        <v>989991.68652730843</v>
      </c>
      <c r="I952" s="14">
        <v>860136.4800253819</v>
      </c>
      <c r="J952" s="14">
        <v>47992.948548707282</v>
      </c>
      <c r="K952" s="14">
        <v>139179.55079125182</v>
      </c>
      <c r="M952" s="12">
        <f>MAX((Inputs!F$25*POWER(1+(Inputs!$C$3-(Inputs!$C$3*(('Steady State'!$A952-1)/Inputs!$C$4))),'Steady State'!$A952-1)),M951)</f>
        <v>48712.842776949758</v>
      </c>
      <c r="N952" s="12">
        <f>MAX((Inputs!G$25*POWER(1+(Inputs!$C$3-(Inputs!$C$3*(('Steady State'!$A952-1)/Inputs!$C$4))),'Steady State'!$A952-1)),N951)</f>
        <v>20876.932618692754</v>
      </c>
      <c r="O952" s="12">
        <v>0</v>
      </c>
      <c r="P952" s="12">
        <v>0</v>
      </c>
    </row>
    <row r="953" spans="1:16" x14ac:dyDescent="0.35">
      <c r="A953">
        <v>951</v>
      </c>
      <c r="C953" s="14">
        <f t="shared" si="57"/>
        <v>1038704.5293042639</v>
      </c>
      <c r="D953" s="14">
        <f t="shared" si="58"/>
        <v>881013.41264408419</v>
      </c>
      <c r="E953" s="14">
        <f t="shared" si="59"/>
        <v>47992.948548707696</v>
      </c>
      <c r="F953" s="14">
        <f t="shared" si="56"/>
        <v>69589.775395626784</v>
      </c>
      <c r="H953" s="14" cm="1">
        <f t="array" ref="H953:K953">MMULT($C952:$F952,P_Matrix)</f>
        <v>989991.68652731413</v>
      </c>
      <c r="I953" s="14">
        <v>860136.48002539144</v>
      </c>
      <c r="J953" s="14">
        <v>47992.948548707696</v>
      </c>
      <c r="K953" s="14">
        <v>139179.55079125299</v>
      </c>
      <c r="M953" s="12">
        <f>MAX((Inputs!F$25*POWER(1+(Inputs!$C$3-(Inputs!$C$3*(('Steady State'!$A953-1)/Inputs!$C$4))),'Steady State'!$A953-1)),M952)</f>
        <v>48712.842776949758</v>
      </c>
      <c r="N953" s="12">
        <f>MAX((Inputs!G$25*POWER(1+(Inputs!$C$3-(Inputs!$C$3*(('Steady State'!$A953-1)/Inputs!$C$4))),'Steady State'!$A953-1)),N952)</f>
        <v>20876.932618692754</v>
      </c>
      <c r="O953" s="12">
        <v>0</v>
      </c>
      <c r="P953" s="12">
        <v>0</v>
      </c>
    </row>
    <row r="954" spans="1:16" x14ac:dyDescent="0.35">
      <c r="A954">
        <v>952</v>
      </c>
      <c r="C954" s="14">
        <f t="shared" si="57"/>
        <v>1038704.5293042694</v>
      </c>
      <c r="D954" s="14">
        <f t="shared" si="58"/>
        <v>881013.41264409327</v>
      </c>
      <c r="E954" s="14">
        <f t="shared" si="59"/>
        <v>47992.948548708096</v>
      </c>
      <c r="F954" s="14">
        <f t="shared" si="56"/>
        <v>69589.775395627366</v>
      </c>
      <c r="H954" s="14" cm="1">
        <f t="array" ref="H954:K954">MMULT($C953:$F953,P_Matrix)</f>
        <v>989991.6865273196</v>
      </c>
      <c r="I954" s="14">
        <v>860136.48002540052</v>
      </c>
      <c r="J954" s="14">
        <v>47992.948548708096</v>
      </c>
      <c r="K954" s="14">
        <v>139179.55079125415</v>
      </c>
      <c r="M954" s="12">
        <f>MAX((Inputs!F$25*POWER(1+(Inputs!$C$3-(Inputs!$C$3*(('Steady State'!$A954-1)/Inputs!$C$4))),'Steady State'!$A954-1)),M953)</f>
        <v>48712.842776949758</v>
      </c>
      <c r="N954" s="12">
        <f>MAX((Inputs!G$25*POWER(1+(Inputs!$C$3-(Inputs!$C$3*(('Steady State'!$A954-1)/Inputs!$C$4))),'Steady State'!$A954-1)),N953)</f>
        <v>20876.932618692754</v>
      </c>
      <c r="O954" s="12">
        <v>0</v>
      </c>
      <c r="P954" s="12">
        <v>0</v>
      </c>
    </row>
    <row r="955" spans="1:16" x14ac:dyDescent="0.35">
      <c r="A955">
        <v>953</v>
      </c>
      <c r="C955" s="14">
        <f t="shared" si="57"/>
        <v>1038704.5293042746</v>
      </c>
      <c r="D955" s="14">
        <f t="shared" si="58"/>
        <v>881013.41264410201</v>
      </c>
      <c r="E955" s="14">
        <f t="shared" si="59"/>
        <v>47992.948548708482</v>
      </c>
      <c r="F955" s="14">
        <f t="shared" si="56"/>
        <v>69589.77539562789</v>
      </c>
      <c r="H955" s="14" cm="1">
        <f t="array" ref="H955:K955">MMULT($C954:$F954,P_Matrix)</f>
        <v>989991.68652732484</v>
      </c>
      <c r="I955" s="14">
        <v>860136.48002540926</v>
      </c>
      <c r="J955" s="14">
        <v>47992.948548708482</v>
      </c>
      <c r="K955" s="14">
        <v>139179.55079125526</v>
      </c>
      <c r="M955" s="12">
        <f>MAX((Inputs!F$25*POWER(1+(Inputs!$C$3-(Inputs!$C$3*(('Steady State'!$A955-1)/Inputs!$C$4))),'Steady State'!$A955-1)),M954)</f>
        <v>48712.842776949758</v>
      </c>
      <c r="N955" s="12">
        <f>MAX((Inputs!G$25*POWER(1+(Inputs!$C$3-(Inputs!$C$3*(('Steady State'!$A955-1)/Inputs!$C$4))),'Steady State'!$A955-1)),N954)</f>
        <v>20876.932618692754</v>
      </c>
      <c r="O955" s="12">
        <v>0</v>
      </c>
      <c r="P955" s="12">
        <v>0</v>
      </c>
    </row>
    <row r="956" spans="1:16" x14ac:dyDescent="0.35">
      <c r="A956">
        <v>954</v>
      </c>
      <c r="C956" s="14">
        <f t="shared" si="57"/>
        <v>1038704.5293042797</v>
      </c>
      <c r="D956" s="14">
        <f t="shared" si="58"/>
        <v>881013.4126441105</v>
      </c>
      <c r="E956" s="14">
        <f t="shared" si="59"/>
        <v>47992.948548708853</v>
      </c>
      <c r="F956" s="14">
        <f t="shared" si="56"/>
        <v>69589.775395628414</v>
      </c>
      <c r="H956" s="14" cm="1">
        <f t="array" ref="H956:K956">MMULT($C955:$F955,P_Matrix)</f>
        <v>989991.68652732996</v>
      </c>
      <c r="I956" s="14">
        <v>860136.48002541775</v>
      </c>
      <c r="J956" s="14">
        <v>47992.948548708853</v>
      </c>
      <c r="K956" s="14">
        <v>139179.5507912563</v>
      </c>
      <c r="M956" s="12">
        <f>MAX((Inputs!F$25*POWER(1+(Inputs!$C$3-(Inputs!$C$3*(('Steady State'!$A956-1)/Inputs!$C$4))),'Steady State'!$A956-1)),M955)</f>
        <v>48712.842776949758</v>
      </c>
      <c r="N956" s="12">
        <f>MAX((Inputs!G$25*POWER(1+(Inputs!$C$3-(Inputs!$C$3*(('Steady State'!$A956-1)/Inputs!$C$4))),'Steady State'!$A956-1)),N955)</f>
        <v>20876.932618692754</v>
      </c>
      <c r="O956" s="12">
        <v>0</v>
      </c>
      <c r="P956" s="12">
        <v>0</v>
      </c>
    </row>
    <row r="957" spans="1:16" x14ac:dyDescent="0.35">
      <c r="A957">
        <v>955</v>
      </c>
      <c r="C957" s="14">
        <f t="shared" si="57"/>
        <v>1038704.5293042846</v>
      </c>
      <c r="D957" s="14">
        <f t="shared" si="58"/>
        <v>881013.41264411877</v>
      </c>
      <c r="E957" s="14">
        <f t="shared" si="59"/>
        <v>47992.948548709217</v>
      </c>
      <c r="F957" s="14">
        <f t="shared" si="56"/>
        <v>69589.775395628938</v>
      </c>
      <c r="H957" s="14" cm="1">
        <f t="array" ref="H957:K957">MMULT($C956:$F956,P_Matrix)</f>
        <v>989991.68652733485</v>
      </c>
      <c r="I957" s="14">
        <v>860136.48002542602</v>
      </c>
      <c r="J957" s="14">
        <v>47992.948548709217</v>
      </c>
      <c r="K957" s="14">
        <v>139179.55079125735</v>
      </c>
      <c r="M957" s="12">
        <f>MAX((Inputs!F$25*POWER(1+(Inputs!$C$3-(Inputs!$C$3*(('Steady State'!$A957-1)/Inputs!$C$4))),'Steady State'!$A957-1)),M956)</f>
        <v>48712.842776949758</v>
      </c>
      <c r="N957" s="12">
        <f>MAX((Inputs!G$25*POWER(1+(Inputs!$C$3-(Inputs!$C$3*(('Steady State'!$A957-1)/Inputs!$C$4))),'Steady State'!$A957-1)),N956)</f>
        <v>20876.932618692754</v>
      </c>
      <c r="O957" s="12">
        <v>0</v>
      </c>
      <c r="P957" s="12">
        <v>0</v>
      </c>
    </row>
    <row r="958" spans="1:16" x14ac:dyDescent="0.35">
      <c r="A958">
        <v>956</v>
      </c>
      <c r="C958" s="14">
        <f t="shared" si="57"/>
        <v>1038704.5293042893</v>
      </c>
      <c r="D958" s="14">
        <f t="shared" si="58"/>
        <v>881013.41264412669</v>
      </c>
      <c r="E958" s="14">
        <f t="shared" si="59"/>
        <v>47992.948548709566</v>
      </c>
      <c r="F958" s="14">
        <f t="shared" si="56"/>
        <v>69589.775395629404</v>
      </c>
      <c r="H958" s="14" cm="1">
        <f t="array" ref="H958:K958">MMULT($C957:$F957,P_Matrix)</f>
        <v>989991.68652733951</v>
      </c>
      <c r="I958" s="14">
        <v>860136.48002543394</v>
      </c>
      <c r="J958" s="14">
        <v>47992.948548709566</v>
      </c>
      <c r="K958" s="14">
        <v>139179.55079125834</v>
      </c>
      <c r="M958" s="12">
        <f>MAX((Inputs!F$25*POWER(1+(Inputs!$C$3-(Inputs!$C$3*(('Steady State'!$A958-1)/Inputs!$C$4))),'Steady State'!$A958-1)),M957)</f>
        <v>48712.842776949758</v>
      </c>
      <c r="N958" s="12">
        <f>MAX((Inputs!G$25*POWER(1+(Inputs!$C$3-(Inputs!$C$3*(('Steady State'!$A958-1)/Inputs!$C$4))),'Steady State'!$A958-1)),N957)</f>
        <v>20876.932618692754</v>
      </c>
      <c r="O958" s="12">
        <v>0</v>
      </c>
      <c r="P958" s="12">
        <v>0</v>
      </c>
    </row>
    <row r="959" spans="1:16" x14ac:dyDescent="0.35">
      <c r="A959">
        <v>957</v>
      </c>
      <c r="C959" s="14">
        <f t="shared" si="57"/>
        <v>1038704.5293042939</v>
      </c>
      <c r="D959" s="14">
        <f t="shared" si="58"/>
        <v>881013.41264413437</v>
      </c>
      <c r="E959" s="14">
        <f t="shared" si="59"/>
        <v>47992.948548709901</v>
      </c>
      <c r="F959" s="14">
        <f t="shared" si="56"/>
        <v>69589.775395629869</v>
      </c>
      <c r="H959" s="14" cm="1">
        <f t="array" ref="H959:K959">MMULT($C958:$F958,P_Matrix)</f>
        <v>989991.68652734417</v>
      </c>
      <c r="I959" s="14">
        <v>860136.48002544162</v>
      </c>
      <c r="J959" s="14">
        <v>47992.948548709901</v>
      </c>
      <c r="K959" s="14">
        <v>139179.55079125927</v>
      </c>
      <c r="M959" s="12">
        <f>MAX((Inputs!F$25*POWER(1+(Inputs!$C$3-(Inputs!$C$3*(('Steady State'!$A959-1)/Inputs!$C$4))),'Steady State'!$A959-1)),M958)</f>
        <v>48712.842776949758</v>
      </c>
      <c r="N959" s="12">
        <f>MAX((Inputs!G$25*POWER(1+(Inputs!$C$3-(Inputs!$C$3*(('Steady State'!$A959-1)/Inputs!$C$4))),'Steady State'!$A959-1)),N958)</f>
        <v>20876.932618692754</v>
      </c>
      <c r="O959" s="12">
        <v>0</v>
      </c>
      <c r="P959" s="12">
        <v>0</v>
      </c>
    </row>
    <row r="960" spans="1:16" x14ac:dyDescent="0.35">
      <c r="A960">
        <v>958</v>
      </c>
      <c r="C960" s="14">
        <f t="shared" si="57"/>
        <v>1038704.5293042983</v>
      </c>
      <c r="D960" s="14">
        <f t="shared" si="58"/>
        <v>881013.41264414182</v>
      </c>
      <c r="E960" s="14">
        <f t="shared" si="59"/>
        <v>47992.948548710221</v>
      </c>
      <c r="F960" s="14">
        <f t="shared" si="56"/>
        <v>69589.775395630335</v>
      </c>
      <c r="H960" s="14" cm="1">
        <f t="array" ref="H960:K960">MMULT($C959:$F959,P_Matrix)</f>
        <v>989991.68652734859</v>
      </c>
      <c r="I960" s="14">
        <v>860136.48002544907</v>
      </c>
      <c r="J960" s="14">
        <v>47992.948548710221</v>
      </c>
      <c r="K960" s="14">
        <v>139179.5507912602</v>
      </c>
      <c r="M960" s="12">
        <f>MAX((Inputs!F$25*POWER(1+(Inputs!$C$3-(Inputs!$C$3*(('Steady State'!$A960-1)/Inputs!$C$4))),'Steady State'!$A960-1)),M959)</f>
        <v>48712.842776949758</v>
      </c>
      <c r="N960" s="12">
        <f>MAX((Inputs!G$25*POWER(1+(Inputs!$C$3-(Inputs!$C$3*(('Steady State'!$A960-1)/Inputs!$C$4))),'Steady State'!$A960-1)),N959)</f>
        <v>20876.932618692754</v>
      </c>
      <c r="O960" s="12">
        <v>0</v>
      </c>
      <c r="P960" s="12">
        <v>0</v>
      </c>
    </row>
    <row r="961" spans="1:16" x14ac:dyDescent="0.35">
      <c r="A961">
        <v>959</v>
      </c>
      <c r="C961" s="14">
        <f t="shared" si="57"/>
        <v>1038704.5293043025</v>
      </c>
      <c r="D961" s="14">
        <f t="shared" si="58"/>
        <v>881013.4126441488</v>
      </c>
      <c r="E961" s="14">
        <f t="shared" si="59"/>
        <v>47992.948548710541</v>
      </c>
      <c r="F961" s="14">
        <f t="shared" si="56"/>
        <v>69589.775395630742</v>
      </c>
      <c r="H961" s="14" cm="1">
        <f t="array" ref="H961:K961">MMULT($C960:$F960,P_Matrix)</f>
        <v>989991.68652735278</v>
      </c>
      <c r="I961" s="14">
        <v>860136.48002545605</v>
      </c>
      <c r="J961" s="14">
        <v>47992.948548710541</v>
      </c>
      <c r="K961" s="14">
        <v>139179.55079126108</v>
      </c>
      <c r="M961" s="12">
        <f>MAX((Inputs!F$25*POWER(1+(Inputs!$C$3-(Inputs!$C$3*(('Steady State'!$A961-1)/Inputs!$C$4))),'Steady State'!$A961-1)),M960)</f>
        <v>48712.842776949758</v>
      </c>
      <c r="N961" s="12">
        <f>MAX((Inputs!G$25*POWER(1+(Inputs!$C$3-(Inputs!$C$3*(('Steady State'!$A961-1)/Inputs!$C$4))),'Steady State'!$A961-1)),N960)</f>
        <v>20876.932618692754</v>
      </c>
      <c r="O961" s="12">
        <v>0</v>
      </c>
      <c r="P961" s="12">
        <v>0</v>
      </c>
    </row>
    <row r="962" spans="1:16" x14ac:dyDescent="0.35">
      <c r="A962">
        <v>960</v>
      </c>
      <c r="C962" s="14">
        <f t="shared" si="57"/>
        <v>1038704.5293043065</v>
      </c>
      <c r="D962" s="14">
        <f t="shared" si="58"/>
        <v>881013.41264415556</v>
      </c>
      <c r="E962" s="14">
        <f t="shared" si="59"/>
        <v>47992.948548710832</v>
      </c>
      <c r="F962" s="14">
        <f t="shared" si="56"/>
        <v>69589.775395631179</v>
      </c>
      <c r="H962" s="14" cm="1">
        <f t="array" ref="H962:K962">MMULT($C961:$F961,P_Matrix)</f>
        <v>989991.68652735674</v>
      </c>
      <c r="I962" s="14">
        <v>860136.48002546281</v>
      </c>
      <c r="J962" s="14">
        <v>47992.948548710832</v>
      </c>
      <c r="K962" s="14">
        <v>139179.55079126192</v>
      </c>
      <c r="M962" s="12">
        <f>MAX((Inputs!F$25*POWER(1+(Inputs!$C$3-(Inputs!$C$3*(('Steady State'!$A962-1)/Inputs!$C$4))),'Steady State'!$A962-1)),M961)</f>
        <v>48712.842776949758</v>
      </c>
      <c r="N962" s="12">
        <f>MAX((Inputs!G$25*POWER(1+(Inputs!$C$3-(Inputs!$C$3*(('Steady State'!$A962-1)/Inputs!$C$4))),'Steady State'!$A962-1)),N961)</f>
        <v>20876.932618692754</v>
      </c>
      <c r="O962" s="12">
        <v>0</v>
      </c>
      <c r="P962" s="12">
        <v>0</v>
      </c>
    </row>
    <row r="963" spans="1:16" x14ac:dyDescent="0.35">
      <c r="A963">
        <v>961</v>
      </c>
      <c r="C963" s="14">
        <f t="shared" si="57"/>
        <v>1038704.5293043104</v>
      </c>
      <c r="D963" s="14">
        <f t="shared" si="58"/>
        <v>881013.41264416219</v>
      </c>
      <c r="E963" s="14">
        <f t="shared" si="59"/>
        <v>47992.948548711123</v>
      </c>
      <c r="F963" s="14">
        <f t="shared" ref="F963:F1002" si="60">(K963+P963)-F962</f>
        <v>69589.775395631586</v>
      </c>
      <c r="H963" s="14" cm="1">
        <f t="array" ref="H963:K963">MMULT($C962:$F962,P_Matrix)</f>
        <v>989991.6865273607</v>
      </c>
      <c r="I963" s="14">
        <v>860136.48002546944</v>
      </c>
      <c r="J963" s="14">
        <v>47992.948548711123</v>
      </c>
      <c r="K963" s="14">
        <v>139179.55079126277</v>
      </c>
      <c r="M963" s="12">
        <f>MAX((Inputs!F$25*POWER(1+(Inputs!$C$3-(Inputs!$C$3*(('Steady State'!$A963-1)/Inputs!$C$4))),'Steady State'!$A963-1)),M962)</f>
        <v>48712.842776949758</v>
      </c>
      <c r="N963" s="12">
        <f>MAX((Inputs!G$25*POWER(1+(Inputs!$C$3-(Inputs!$C$3*(('Steady State'!$A963-1)/Inputs!$C$4))),'Steady State'!$A963-1)),N962)</f>
        <v>20876.932618692754</v>
      </c>
      <c r="O963" s="12">
        <v>0</v>
      </c>
      <c r="P963" s="12">
        <v>0</v>
      </c>
    </row>
    <row r="964" spans="1:16" x14ac:dyDescent="0.35">
      <c r="A964">
        <v>962</v>
      </c>
      <c r="C964" s="14">
        <f t="shared" ref="C964:C1002" si="61">H964+M964</f>
        <v>1038704.5293043143</v>
      </c>
      <c r="D964" s="14">
        <f t="shared" ref="D964:D1002" si="62">I964+N964</f>
        <v>881013.41264416848</v>
      </c>
      <c r="E964" s="14">
        <f t="shared" ref="E964:E1002" si="63">J964+O964</f>
        <v>47992.9485487114</v>
      </c>
      <c r="F964" s="14">
        <f t="shared" si="60"/>
        <v>69589.775395631965</v>
      </c>
      <c r="H964" s="14" cm="1">
        <f t="array" ref="H964:K964">MMULT($C963:$F963,P_Matrix)</f>
        <v>989991.68652736454</v>
      </c>
      <c r="I964" s="14">
        <v>860136.48002547573</v>
      </c>
      <c r="J964" s="14">
        <v>47992.9485487114</v>
      </c>
      <c r="K964" s="14">
        <v>139179.55079126355</v>
      </c>
      <c r="M964" s="12">
        <f>MAX((Inputs!F$25*POWER(1+(Inputs!$C$3-(Inputs!$C$3*(('Steady State'!$A964-1)/Inputs!$C$4))),'Steady State'!$A964-1)),M963)</f>
        <v>48712.842776949758</v>
      </c>
      <c r="N964" s="12">
        <f>MAX((Inputs!G$25*POWER(1+(Inputs!$C$3-(Inputs!$C$3*(('Steady State'!$A964-1)/Inputs!$C$4))),'Steady State'!$A964-1)),N963)</f>
        <v>20876.932618692754</v>
      </c>
      <c r="O964" s="12">
        <v>0</v>
      </c>
      <c r="P964" s="12">
        <v>0</v>
      </c>
    </row>
    <row r="965" spans="1:16" x14ac:dyDescent="0.35">
      <c r="A965">
        <v>963</v>
      </c>
      <c r="C965" s="14">
        <f t="shared" si="61"/>
        <v>1038704.5293043179</v>
      </c>
      <c r="D965" s="14">
        <f t="shared" si="62"/>
        <v>881013.41264417465</v>
      </c>
      <c r="E965" s="14">
        <f t="shared" si="63"/>
        <v>47992.948548711662</v>
      </c>
      <c r="F965" s="14">
        <f t="shared" si="60"/>
        <v>69589.775395632314</v>
      </c>
      <c r="H965" s="14" cm="1">
        <f t="array" ref="H965:K965">MMULT($C964:$F964,P_Matrix)</f>
        <v>989991.68652736815</v>
      </c>
      <c r="I965" s="14">
        <v>860136.4800254819</v>
      </c>
      <c r="J965" s="14">
        <v>47992.948548711662</v>
      </c>
      <c r="K965" s="14">
        <v>139179.55079126428</v>
      </c>
      <c r="M965" s="12">
        <f>MAX((Inputs!F$25*POWER(1+(Inputs!$C$3-(Inputs!$C$3*(('Steady State'!$A965-1)/Inputs!$C$4))),'Steady State'!$A965-1)),M964)</f>
        <v>48712.842776949758</v>
      </c>
      <c r="N965" s="12">
        <f>MAX((Inputs!G$25*POWER(1+(Inputs!$C$3-(Inputs!$C$3*(('Steady State'!$A965-1)/Inputs!$C$4))),'Steady State'!$A965-1)),N964)</f>
        <v>20876.932618692754</v>
      </c>
      <c r="O965" s="12">
        <v>0</v>
      </c>
      <c r="P965" s="12">
        <v>0</v>
      </c>
    </row>
    <row r="966" spans="1:16" x14ac:dyDescent="0.35">
      <c r="A966">
        <v>964</v>
      </c>
      <c r="C966" s="14">
        <f t="shared" si="61"/>
        <v>1038704.5293043214</v>
      </c>
      <c r="D966" s="14">
        <f t="shared" si="62"/>
        <v>881013.41264418059</v>
      </c>
      <c r="E966" s="14">
        <f t="shared" si="63"/>
        <v>47992.948548711924</v>
      </c>
      <c r="F966" s="14">
        <f t="shared" si="60"/>
        <v>69589.775395632692</v>
      </c>
      <c r="H966" s="14" cm="1">
        <f t="array" ref="H966:K966">MMULT($C965:$F965,P_Matrix)</f>
        <v>989991.68652737164</v>
      </c>
      <c r="I966" s="14">
        <v>860136.48002548784</v>
      </c>
      <c r="J966" s="14">
        <v>47992.948548711924</v>
      </c>
      <c r="K966" s="14">
        <v>139179.55079126501</v>
      </c>
      <c r="M966" s="12">
        <f>MAX((Inputs!F$25*POWER(1+(Inputs!$C$3-(Inputs!$C$3*(('Steady State'!$A966-1)/Inputs!$C$4))),'Steady State'!$A966-1)),M965)</f>
        <v>48712.842776949758</v>
      </c>
      <c r="N966" s="12">
        <f>MAX((Inputs!G$25*POWER(1+(Inputs!$C$3-(Inputs!$C$3*(('Steady State'!$A966-1)/Inputs!$C$4))),'Steady State'!$A966-1)),N965)</f>
        <v>20876.932618692754</v>
      </c>
      <c r="O966" s="12">
        <v>0</v>
      </c>
      <c r="P966" s="12">
        <v>0</v>
      </c>
    </row>
    <row r="967" spans="1:16" x14ac:dyDescent="0.35">
      <c r="A967">
        <v>965</v>
      </c>
      <c r="C967" s="14">
        <f t="shared" si="61"/>
        <v>1038704.5293043248</v>
      </c>
      <c r="D967" s="14">
        <f t="shared" si="62"/>
        <v>881013.41264418629</v>
      </c>
      <c r="E967" s="14">
        <f t="shared" si="63"/>
        <v>47992.948548712171</v>
      </c>
      <c r="F967" s="14">
        <f t="shared" si="60"/>
        <v>69589.775395633042</v>
      </c>
      <c r="H967" s="14" cm="1">
        <f t="array" ref="H967:K967">MMULT($C966:$F966,P_Matrix)</f>
        <v>989991.68652737502</v>
      </c>
      <c r="I967" s="14">
        <v>860136.48002549354</v>
      </c>
      <c r="J967" s="14">
        <v>47992.948548712171</v>
      </c>
      <c r="K967" s="14">
        <v>139179.55079126573</v>
      </c>
      <c r="M967" s="12">
        <f>MAX((Inputs!F$25*POWER(1+(Inputs!$C$3-(Inputs!$C$3*(('Steady State'!$A967-1)/Inputs!$C$4))),'Steady State'!$A967-1)),M966)</f>
        <v>48712.842776949758</v>
      </c>
      <c r="N967" s="12">
        <f>MAX((Inputs!G$25*POWER(1+(Inputs!$C$3-(Inputs!$C$3*(('Steady State'!$A967-1)/Inputs!$C$4))),'Steady State'!$A967-1)),N966)</f>
        <v>20876.932618692754</v>
      </c>
      <c r="O967" s="12">
        <v>0</v>
      </c>
      <c r="P967" s="12">
        <v>0</v>
      </c>
    </row>
    <row r="968" spans="1:16" x14ac:dyDescent="0.35">
      <c r="A968">
        <v>966</v>
      </c>
      <c r="C968" s="14">
        <f t="shared" si="61"/>
        <v>1038704.5293043281</v>
      </c>
      <c r="D968" s="14">
        <f t="shared" si="62"/>
        <v>881013.41264419176</v>
      </c>
      <c r="E968" s="14">
        <f t="shared" si="63"/>
        <v>47992.948548712411</v>
      </c>
      <c r="F968" s="14">
        <f t="shared" si="60"/>
        <v>69589.775395633391</v>
      </c>
      <c r="H968" s="14" cm="1">
        <f t="array" ref="H968:K968">MMULT($C967:$F967,P_Matrix)</f>
        <v>989991.68652737839</v>
      </c>
      <c r="I968" s="14">
        <v>860136.48002549901</v>
      </c>
      <c r="J968" s="14">
        <v>47992.948548712411</v>
      </c>
      <c r="K968" s="14">
        <v>139179.55079126643</v>
      </c>
      <c r="M968" s="12">
        <f>MAX((Inputs!F$25*POWER(1+(Inputs!$C$3-(Inputs!$C$3*(('Steady State'!$A968-1)/Inputs!$C$4))),'Steady State'!$A968-1)),M967)</f>
        <v>48712.842776949758</v>
      </c>
      <c r="N968" s="12">
        <f>MAX((Inputs!G$25*POWER(1+(Inputs!$C$3-(Inputs!$C$3*(('Steady State'!$A968-1)/Inputs!$C$4))),'Steady State'!$A968-1)),N967)</f>
        <v>20876.932618692754</v>
      </c>
      <c r="O968" s="12">
        <v>0</v>
      </c>
      <c r="P968" s="12">
        <v>0</v>
      </c>
    </row>
    <row r="969" spans="1:16" x14ac:dyDescent="0.35">
      <c r="A969">
        <v>967</v>
      </c>
      <c r="C969" s="14">
        <f t="shared" si="61"/>
        <v>1038704.5293043313</v>
      </c>
      <c r="D969" s="14">
        <f t="shared" si="62"/>
        <v>881013.41264419712</v>
      </c>
      <c r="E969" s="14">
        <f t="shared" si="63"/>
        <v>47992.948548712644</v>
      </c>
      <c r="F969" s="14">
        <f t="shared" si="60"/>
        <v>69589.775395633682</v>
      </c>
      <c r="H969" s="14" cm="1">
        <f t="array" ref="H969:K969">MMULT($C968:$F968,P_Matrix)</f>
        <v>989991.68652738153</v>
      </c>
      <c r="I969" s="14">
        <v>860136.48002550437</v>
      </c>
      <c r="J969" s="14">
        <v>47992.948548712644</v>
      </c>
      <c r="K969" s="14">
        <v>139179.55079126707</v>
      </c>
      <c r="M969" s="12">
        <f>MAX((Inputs!F$25*POWER(1+(Inputs!$C$3-(Inputs!$C$3*(('Steady State'!$A969-1)/Inputs!$C$4))),'Steady State'!$A969-1)),M968)</f>
        <v>48712.842776949758</v>
      </c>
      <c r="N969" s="12">
        <f>MAX((Inputs!G$25*POWER(1+(Inputs!$C$3-(Inputs!$C$3*(('Steady State'!$A969-1)/Inputs!$C$4))),'Steady State'!$A969-1)),N968)</f>
        <v>20876.932618692754</v>
      </c>
      <c r="O969" s="12">
        <v>0</v>
      </c>
      <c r="P969" s="12">
        <v>0</v>
      </c>
    </row>
    <row r="970" spans="1:16" x14ac:dyDescent="0.35">
      <c r="A970">
        <v>968</v>
      </c>
      <c r="C970" s="14">
        <f t="shared" si="61"/>
        <v>1038704.5293043343</v>
      </c>
      <c r="D970" s="14">
        <f t="shared" si="62"/>
        <v>881013.41264420224</v>
      </c>
      <c r="E970" s="14">
        <f t="shared" si="63"/>
        <v>47992.94854871287</v>
      </c>
      <c r="F970" s="14">
        <f t="shared" si="60"/>
        <v>69589.775395634031</v>
      </c>
      <c r="H970" s="14" cm="1">
        <f t="array" ref="H970:K970">MMULT($C969:$F969,P_Matrix)</f>
        <v>989991.68652738456</v>
      </c>
      <c r="I970" s="14">
        <v>860136.48002550949</v>
      </c>
      <c r="J970" s="14">
        <v>47992.94854871287</v>
      </c>
      <c r="K970" s="14">
        <v>139179.55079126771</v>
      </c>
      <c r="M970" s="12">
        <f>MAX((Inputs!F$25*POWER(1+(Inputs!$C$3-(Inputs!$C$3*(('Steady State'!$A970-1)/Inputs!$C$4))),'Steady State'!$A970-1)),M969)</f>
        <v>48712.842776949758</v>
      </c>
      <c r="N970" s="12">
        <f>MAX((Inputs!G$25*POWER(1+(Inputs!$C$3-(Inputs!$C$3*(('Steady State'!$A970-1)/Inputs!$C$4))),'Steady State'!$A970-1)),N969)</f>
        <v>20876.932618692754</v>
      </c>
      <c r="O970" s="12">
        <v>0</v>
      </c>
      <c r="P970" s="12">
        <v>0</v>
      </c>
    </row>
    <row r="971" spans="1:16" x14ac:dyDescent="0.35">
      <c r="A971">
        <v>969</v>
      </c>
      <c r="C971" s="14">
        <f t="shared" si="61"/>
        <v>1038704.5293043372</v>
      </c>
      <c r="D971" s="14">
        <f t="shared" si="62"/>
        <v>881013.41264420724</v>
      </c>
      <c r="E971" s="14">
        <f t="shared" si="63"/>
        <v>47992.948548713088</v>
      </c>
      <c r="F971" s="14">
        <f t="shared" si="60"/>
        <v>69589.775395634322</v>
      </c>
      <c r="H971" s="14" cm="1">
        <f t="array" ref="H971:K971">MMULT($C970:$F970,P_Matrix)</f>
        <v>989991.68652738747</v>
      </c>
      <c r="I971" s="14">
        <v>860136.48002551449</v>
      </c>
      <c r="J971" s="14">
        <v>47992.948548713088</v>
      </c>
      <c r="K971" s="14">
        <v>139179.55079126835</v>
      </c>
      <c r="M971" s="12">
        <f>MAX((Inputs!F$25*POWER(1+(Inputs!$C$3-(Inputs!$C$3*(('Steady State'!$A971-1)/Inputs!$C$4))),'Steady State'!$A971-1)),M970)</f>
        <v>48712.842776949758</v>
      </c>
      <c r="N971" s="12">
        <f>MAX((Inputs!G$25*POWER(1+(Inputs!$C$3-(Inputs!$C$3*(('Steady State'!$A971-1)/Inputs!$C$4))),'Steady State'!$A971-1)),N970)</f>
        <v>20876.932618692754</v>
      </c>
      <c r="O971" s="12">
        <v>0</v>
      </c>
      <c r="P971" s="12">
        <v>0</v>
      </c>
    </row>
    <row r="972" spans="1:16" x14ac:dyDescent="0.35">
      <c r="A972">
        <v>970</v>
      </c>
      <c r="C972" s="14">
        <f t="shared" si="61"/>
        <v>1038704.52930434</v>
      </c>
      <c r="D972" s="14">
        <f t="shared" si="62"/>
        <v>881013.4126442119</v>
      </c>
      <c r="E972" s="14">
        <f t="shared" si="63"/>
        <v>47992.948548713292</v>
      </c>
      <c r="F972" s="14">
        <f t="shared" si="60"/>
        <v>69589.775395634613</v>
      </c>
      <c r="H972" s="14" cm="1">
        <f t="array" ref="H972:K972">MMULT($C971:$F971,P_Matrix)</f>
        <v>989991.68652739027</v>
      </c>
      <c r="I972" s="14">
        <v>860136.48002551915</v>
      </c>
      <c r="J972" s="14">
        <v>47992.948548713292</v>
      </c>
      <c r="K972" s="14">
        <v>139179.55079126894</v>
      </c>
      <c r="M972" s="12">
        <f>MAX((Inputs!F$25*POWER(1+(Inputs!$C$3-(Inputs!$C$3*(('Steady State'!$A972-1)/Inputs!$C$4))),'Steady State'!$A972-1)),M971)</f>
        <v>48712.842776949758</v>
      </c>
      <c r="N972" s="12">
        <f>MAX((Inputs!G$25*POWER(1+(Inputs!$C$3-(Inputs!$C$3*(('Steady State'!$A972-1)/Inputs!$C$4))),'Steady State'!$A972-1)),N971)</f>
        <v>20876.932618692754</v>
      </c>
      <c r="O972" s="12">
        <v>0</v>
      </c>
      <c r="P972" s="12">
        <v>0</v>
      </c>
    </row>
    <row r="973" spans="1:16" x14ac:dyDescent="0.35">
      <c r="A973">
        <v>971</v>
      </c>
      <c r="C973" s="14">
        <f t="shared" si="61"/>
        <v>1038704.5293043428</v>
      </c>
      <c r="D973" s="14">
        <f t="shared" si="62"/>
        <v>881013.41264421644</v>
      </c>
      <c r="E973" s="14">
        <f t="shared" si="63"/>
        <v>47992.948548713495</v>
      </c>
      <c r="F973" s="14">
        <f t="shared" si="60"/>
        <v>69589.775395634875</v>
      </c>
      <c r="H973" s="14" cm="1">
        <f t="array" ref="H973:K973">MMULT($C972:$F972,P_Matrix)</f>
        <v>989991.68652739306</v>
      </c>
      <c r="I973" s="14">
        <v>860136.48002552369</v>
      </c>
      <c r="J973" s="14">
        <v>47992.948548713495</v>
      </c>
      <c r="K973" s="14">
        <v>139179.55079126949</v>
      </c>
      <c r="M973" s="12">
        <f>MAX((Inputs!F$25*POWER(1+(Inputs!$C$3-(Inputs!$C$3*(('Steady State'!$A973-1)/Inputs!$C$4))),'Steady State'!$A973-1)),M972)</f>
        <v>48712.842776949758</v>
      </c>
      <c r="N973" s="12">
        <f>MAX((Inputs!G$25*POWER(1+(Inputs!$C$3-(Inputs!$C$3*(('Steady State'!$A973-1)/Inputs!$C$4))),'Steady State'!$A973-1)),N972)</f>
        <v>20876.932618692754</v>
      </c>
      <c r="O973" s="12">
        <v>0</v>
      </c>
      <c r="P973" s="12">
        <v>0</v>
      </c>
    </row>
    <row r="974" spans="1:16" x14ac:dyDescent="0.35">
      <c r="A974">
        <v>972</v>
      </c>
      <c r="C974" s="14">
        <f t="shared" si="61"/>
        <v>1038704.5293043454</v>
      </c>
      <c r="D974" s="14">
        <f t="shared" si="62"/>
        <v>881013.41264422087</v>
      </c>
      <c r="E974" s="14">
        <f t="shared" si="63"/>
        <v>47992.948548713684</v>
      </c>
      <c r="F974" s="14">
        <f t="shared" si="60"/>
        <v>69589.775395635166</v>
      </c>
      <c r="H974" s="14" cm="1">
        <f t="array" ref="H974:K974">MMULT($C973:$F973,P_Matrix)</f>
        <v>989991.68652739562</v>
      </c>
      <c r="I974" s="14">
        <v>860136.48002552812</v>
      </c>
      <c r="J974" s="14">
        <v>47992.948548713684</v>
      </c>
      <c r="K974" s="14">
        <v>139179.55079127004</v>
      </c>
      <c r="M974" s="12">
        <f>MAX((Inputs!F$25*POWER(1+(Inputs!$C$3-(Inputs!$C$3*(('Steady State'!$A974-1)/Inputs!$C$4))),'Steady State'!$A974-1)),M973)</f>
        <v>48712.842776949758</v>
      </c>
      <c r="N974" s="12">
        <f>MAX((Inputs!G$25*POWER(1+(Inputs!$C$3-(Inputs!$C$3*(('Steady State'!$A974-1)/Inputs!$C$4))),'Steady State'!$A974-1)),N973)</f>
        <v>20876.932618692754</v>
      </c>
      <c r="O974" s="12">
        <v>0</v>
      </c>
      <c r="P974" s="12">
        <v>0</v>
      </c>
    </row>
    <row r="975" spans="1:16" x14ac:dyDescent="0.35">
      <c r="A975">
        <v>973</v>
      </c>
      <c r="C975" s="14">
        <f t="shared" si="61"/>
        <v>1038704.5293043479</v>
      </c>
      <c r="D975" s="14">
        <f t="shared" si="62"/>
        <v>881013.41264422517</v>
      </c>
      <c r="E975" s="14">
        <f t="shared" si="63"/>
        <v>47992.948548713874</v>
      </c>
      <c r="F975" s="14">
        <f t="shared" si="60"/>
        <v>69589.775395635399</v>
      </c>
      <c r="H975" s="14" cm="1">
        <f t="array" ref="H975:K975">MMULT($C974:$F974,P_Matrix)</f>
        <v>989991.68652739818</v>
      </c>
      <c r="I975" s="14">
        <v>860136.48002553242</v>
      </c>
      <c r="J975" s="14">
        <v>47992.948548713874</v>
      </c>
      <c r="K975" s="14">
        <v>139179.55079127057</v>
      </c>
      <c r="M975" s="12">
        <f>MAX((Inputs!F$25*POWER(1+(Inputs!$C$3-(Inputs!$C$3*(('Steady State'!$A975-1)/Inputs!$C$4))),'Steady State'!$A975-1)),M974)</f>
        <v>48712.842776949758</v>
      </c>
      <c r="N975" s="12">
        <f>MAX((Inputs!G$25*POWER(1+(Inputs!$C$3-(Inputs!$C$3*(('Steady State'!$A975-1)/Inputs!$C$4))),'Steady State'!$A975-1)),N974)</f>
        <v>20876.932618692754</v>
      </c>
      <c r="O975" s="12">
        <v>0</v>
      </c>
      <c r="P975" s="12">
        <v>0</v>
      </c>
    </row>
    <row r="976" spans="1:16" x14ac:dyDescent="0.35">
      <c r="A976">
        <v>974</v>
      </c>
      <c r="C976" s="14">
        <f t="shared" si="61"/>
        <v>1038704.5293043504</v>
      </c>
      <c r="D976" s="14">
        <f t="shared" si="62"/>
        <v>881013.41264422936</v>
      </c>
      <c r="E976" s="14">
        <f t="shared" si="63"/>
        <v>47992.948548714056</v>
      </c>
      <c r="F976" s="14">
        <f t="shared" si="60"/>
        <v>69589.775395635661</v>
      </c>
      <c r="H976" s="14" cm="1">
        <f t="array" ref="H976:K976">MMULT($C975:$F975,P_Matrix)</f>
        <v>989991.68652740063</v>
      </c>
      <c r="I976" s="14">
        <v>860136.48002553661</v>
      </c>
      <c r="J976" s="14">
        <v>47992.948548714056</v>
      </c>
      <c r="K976" s="14">
        <v>139179.55079127106</v>
      </c>
      <c r="M976" s="12">
        <f>MAX((Inputs!F$25*POWER(1+(Inputs!$C$3-(Inputs!$C$3*(('Steady State'!$A976-1)/Inputs!$C$4))),'Steady State'!$A976-1)),M975)</f>
        <v>48712.842776949758</v>
      </c>
      <c r="N976" s="12">
        <f>MAX((Inputs!G$25*POWER(1+(Inputs!$C$3-(Inputs!$C$3*(('Steady State'!$A976-1)/Inputs!$C$4))),'Steady State'!$A976-1)),N975)</f>
        <v>20876.932618692754</v>
      </c>
      <c r="O976" s="12">
        <v>0</v>
      </c>
      <c r="P976" s="12">
        <v>0</v>
      </c>
    </row>
    <row r="977" spans="1:16" x14ac:dyDescent="0.35">
      <c r="A977">
        <v>975</v>
      </c>
      <c r="C977" s="14">
        <f t="shared" si="61"/>
        <v>1038704.5293043528</v>
      </c>
      <c r="D977" s="14">
        <f t="shared" si="62"/>
        <v>881013.41264423332</v>
      </c>
      <c r="E977" s="14">
        <f t="shared" si="63"/>
        <v>47992.94854871423</v>
      </c>
      <c r="F977" s="14">
        <f t="shared" si="60"/>
        <v>69589.775395635894</v>
      </c>
      <c r="H977" s="14" cm="1">
        <f t="array" ref="H977:K977">MMULT($C976:$F976,P_Matrix)</f>
        <v>989991.68652740307</v>
      </c>
      <c r="I977" s="14">
        <v>860136.48002554057</v>
      </c>
      <c r="J977" s="14">
        <v>47992.94854871423</v>
      </c>
      <c r="K977" s="14">
        <v>139179.55079127155</v>
      </c>
      <c r="M977" s="12">
        <f>MAX((Inputs!F$25*POWER(1+(Inputs!$C$3-(Inputs!$C$3*(('Steady State'!$A977-1)/Inputs!$C$4))),'Steady State'!$A977-1)),M976)</f>
        <v>48712.842776949758</v>
      </c>
      <c r="N977" s="12">
        <f>MAX((Inputs!G$25*POWER(1+(Inputs!$C$3-(Inputs!$C$3*(('Steady State'!$A977-1)/Inputs!$C$4))),'Steady State'!$A977-1)),N976)</f>
        <v>20876.932618692754</v>
      </c>
      <c r="O977" s="12">
        <v>0</v>
      </c>
      <c r="P977" s="12">
        <v>0</v>
      </c>
    </row>
    <row r="978" spans="1:16" x14ac:dyDescent="0.35">
      <c r="A978">
        <v>976</v>
      </c>
      <c r="C978" s="14">
        <f t="shared" si="61"/>
        <v>1038704.5293043552</v>
      </c>
      <c r="D978" s="14">
        <f t="shared" si="62"/>
        <v>881013.41264423716</v>
      </c>
      <c r="E978" s="14">
        <f t="shared" si="63"/>
        <v>47992.948548714397</v>
      </c>
      <c r="F978" s="14">
        <f t="shared" si="60"/>
        <v>69589.775395636127</v>
      </c>
      <c r="H978" s="14" cm="1">
        <f t="array" ref="H978:K978">MMULT($C977:$F977,P_Matrix)</f>
        <v>989991.6865274054</v>
      </c>
      <c r="I978" s="14">
        <v>860136.48002554441</v>
      </c>
      <c r="J978" s="14">
        <v>47992.948548714397</v>
      </c>
      <c r="K978" s="14">
        <v>139179.55079127202</v>
      </c>
      <c r="M978" s="12">
        <f>MAX((Inputs!F$25*POWER(1+(Inputs!$C$3-(Inputs!$C$3*(('Steady State'!$A978-1)/Inputs!$C$4))),'Steady State'!$A978-1)),M977)</f>
        <v>48712.842776949758</v>
      </c>
      <c r="N978" s="12">
        <f>MAX((Inputs!G$25*POWER(1+(Inputs!$C$3-(Inputs!$C$3*(('Steady State'!$A978-1)/Inputs!$C$4))),'Steady State'!$A978-1)),N977)</f>
        <v>20876.932618692754</v>
      </c>
      <c r="O978" s="12">
        <v>0</v>
      </c>
      <c r="P978" s="12">
        <v>0</v>
      </c>
    </row>
    <row r="979" spans="1:16" x14ac:dyDescent="0.35">
      <c r="A979">
        <v>977</v>
      </c>
      <c r="C979" s="14">
        <f t="shared" si="61"/>
        <v>1038704.5293043574</v>
      </c>
      <c r="D979" s="14">
        <f t="shared" si="62"/>
        <v>881013.41264424089</v>
      </c>
      <c r="E979" s="14">
        <f t="shared" si="63"/>
        <v>47992.948548714558</v>
      </c>
      <c r="F979" s="14">
        <f t="shared" si="60"/>
        <v>69589.775395636359</v>
      </c>
      <c r="H979" s="14" cm="1">
        <f t="array" ref="H979:K979">MMULT($C978:$F978,P_Matrix)</f>
        <v>989991.68652740761</v>
      </c>
      <c r="I979" s="14">
        <v>860136.48002554814</v>
      </c>
      <c r="J979" s="14">
        <v>47992.948548714558</v>
      </c>
      <c r="K979" s="14">
        <v>139179.55079127249</v>
      </c>
      <c r="M979" s="12">
        <f>MAX((Inputs!F$25*POWER(1+(Inputs!$C$3-(Inputs!$C$3*(('Steady State'!$A979-1)/Inputs!$C$4))),'Steady State'!$A979-1)),M978)</f>
        <v>48712.842776949758</v>
      </c>
      <c r="N979" s="12">
        <f>MAX((Inputs!G$25*POWER(1+(Inputs!$C$3-(Inputs!$C$3*(('Steady State'!$A979-1)/Inputs!$C$4))),'Steady State'!$A979-1)),N978)</f>
        <v>20876.932618692754</v>
      </c>
      <c r="O979" s="12">
        <v>0</v>
      </c>
      <c r="P979" s="12">
        <v>0</v>
      </c>
    </row>
    <row r="980" spans="1:16" x14ac:dyDescent="0.35">
      <c r="A980">
        <v>978</v>
      </c>
      <c r="C980" s="14">
        <f t="shared" si="61"/>
        <v>1038704.5293043595</v>
      </c>
      <c r="D980" s="14">
        <f t="shared" si="62"/>
        <v>881013.4126442445</v>
      </c>
      <c r="E980" s="14">
        <f t="shared" si="63"/>
        <v>47992.948548714718</v>
      </c>
      <c r="F980" s="14">
        <f t="shared" si="60"/>
        <v>69589.775395636592</v>
      </c>
      <c r="H980" s="14" cm="1">
        <f t="array" ref="H980:K980">MMULT($C979:$F979,P_Matrix)</f>
        <v>989991.68652740971</v>
      </c>
      <c r="I980" s="14">
        <v>860136.48002555175</v>
      </c>
      <c r="J980" s="14">
        <v>47992.948548714718</v>
      </c>
      <c r="K980" s="14">
        <v>139179.55079127295</v>
      </c>
      <c r="M980" s="12">
        <f>MAX((Inputs!F$25*POWER(1+(Inputs!$C$3-(Inputs!$C$3*(('Steady State'!$A980-1)/Inputs!$C$4))),'Steady State'!$A980-1)),M979)</f>
        <v>48712.842776949758</v>
      </c>
      <c r="N980" s="12">
        <f>MAX((Inputs!G$25*POWER(1+(Inputs!$C$3-(Inputs!$C$3*(('Steady State'!$A980-1)/Inputs!$C$4))),'Steady State'!$A980-1)),N979)</f>
        <v>20876.932618692754</v>
      </c>
      <c r="O980" s="12">
        <v>0</v>
      </c>
      <c r="P980" s="12">
        <v>0</v>
      </c>
    </row>
    <row r="981" spans="1:16" x14ac:dyDescent="0.35">
      <c r="A981">
        <v>979</v>
      </c>
      <c r="C981" s="14">
        <f t="shared" si="61"/>
        <v>1038704.5293043616</v>
      </c>
      <c r="D981" s="14">
        <f t="shared" si="62"/>
        <v>881013.41264424787</v>
      </c>
      <c r="E981" s="14">
        <f t="shared" si="63"/>
        <v>47992.94854871487</v>
      </c>
      <c r="F981" s="14">
        <f t="shared" si="60"/>
        <v>69589.775395636796</v>
      </c>
      <c r="H981" s="14" cm="1">
        <f t="array" ref="H981:K981">MMULT($C980:$F980,P_Matrix)</f>
        <v>989991.6865274118</v>
      </c>
      <c r="I981" s="14">
        <v>860136.48002555512</v>
      </c>
      <c r="J981" s="14">
        <v>47992.94854871487</v>
      </c>
      <c r="K981" s="14">
        <v>139179.55079127339</v>
      </c>
      <c r="M981" s="12">
        <f>MAX((Inputs!F$25*POWER(1+(Inputs!$C$3-(Inputs!$C$3*(('Steady State'!$A981-1)/Inputs!$C$4))),'Steady State'!$A981-1)),M980)</f>
        <v>48712.842776949758</v>
      </c>
      <c r="N981" s="12">
        <f>MAX((Inputs!G$25*POWER(1+(Inputs!$C$3-(Inputs!$C$3*(('Steady State'!$A981-1)/Inputs!$C$4))),'Steady State'!$A981-1)),N980)</f>
        <v>20876.932618692754</v>
      </c>
      <c r="O981" s="12">
        <v>0</v>
      </c>
      <c r="P981" s="12">
        <v>0</v>
      </c>
    </row>
    <row r="982" spans="1:16" x14ac:dyDescent="0.35">
      <c r="A982">
        <v>980</v>
      </c>
      <c r="C982" s="14">
        <f t="shared" si="61"/>
        <v>1038704.5293043635</v>
      </c>
      <c r="D982" s="14">
        <f t="shared" si="62"/>
        <v>881013.41264425113</v>
      </c>
      <c r="E982" s="14">
        <f t="shared" si="63"/>
        <v>47992.948548715009</v>
      </c>
      <c r="F982" s="14">
        <f t="shared" si="60"/>
        <v>69589.775395637</v>
      </c>
      <c r="H982" s="14" cm="1">
        <f t="array" ref="H982:K982">MMULT($C981:$F981,P_Matrix)</f>
        <v>989991.68652741378</v>
      </c>
      <c r="I982" s="14">
        <v>860136.48002555838</v>
      </c>
      <c r="J982" s="14">
        <v>47992.948548715009</v>
      </c>
      <c r="K982" s="14">
        <v>139179.5507912738</v>
      </c>
      <c r="M982" s="12">
        <f>MAX((Inputs!F$25*POWER(1+(Inputs!$C$3-(Inputs!$C$3*(('Steady State'!$A982-1)/Inputs!$C$4))),'Steady State'!$A982-1)),M981)</f>
        <v>48712.842776949758</v>
      </c>
      <c r="N982" s="12">
        <f>MAX((Inputs!G$25*POWER(1+(Inputs!$C$3-(Inputs!$C$3*(('Steady State'!$A982-1)/Inputs!$C$4))),'Steady State'!$A982-1)),N981)</f>
        <v>20876.932618692754</v>
      </c>
      <c r="O982" s="12">
        <v>0</v>
      </c>
      <c r="P982" s="12">
        <v>0</v>
      </c>
    </row>
    <row r="983" spans="1:16" x14ac:dyDescent="0.35">
      <c r="A983">
        <v>981</v>
      </c>
      <c r="C983" s="14">
        <f t="shared" si="61"/>
        <v>1038704.5293043654</v>
      </c>
      <c r="D983" s="14">
        <f t="shared" si="62"/>
        <v>881013.41264425439</v>
      </c>
      <c r="E983" s="14">
        <f t="shared" si="63"/>
        <v>47992.948548715154</v>
      </c>
      <c r="F983" s="14">
        <f t="shared" si="60"/>
        <v>69589.775395637174</v>
      </c>
      <c r="H983" s="14" cm="1">
        <f t="array" ref="H983:K983">MMULT($C982:$F982,P_Matrix)</f>
        <v>989991.68652741564</v>
      </c>
      <c r="I983" s="14">
        <v>860136.48002556164</v>
      </c>
      <c r="J983" s="14">
        <v>47992.948548715154</v>
      </c>
      <c r="K983" s="14">
        <v>139179.55079127417</v>
      </c>
      <c r="M983" s="12">
        <f>MAX((Inputs!F$25*POWER(1+(Inputs!$C$3-(Inputs!$C$3*(('Steady State'!$A983-1)/Inputs!$C$4))),'Steady State'!$A983-1)),M982)</f>
        <v>48712.842776949758</v>
      </c>
      <c r="N983" s="12">
        <f>MAX((Inputs!G$25*POWER(1+(Inputs!$C$3-(Inputs!$C$3*(('Steady State'!$A983-1)/Inputs!$C$4))),'Steady State'!$A983-1)),N982)</f>
        <v>20876.932618692754</v>
      </c>
      <c r="O983" s="12">
        <v>0</v>
      </c>
      <c r="P983" s="12">
        <v>0</v>
      </c>
    </row>
    <row r="984" spans="1:16" x14ac:dyDescent="0.35">
      <c r="A984">
        <v>982</v>
      </c>
      <c r="C984" s="14">
        <f t="shared" si="61"/>
        <v>1038704.5293043673</v>
      </c>
      <c r="D984" s="14">
        <f t="shared" si="62"/>
        <v>881013.41264425742</v>
      </c>
      <c r="E984" s="14">
        <f t="shared" si="63"/>
        <v>47992.948548715292</v>
      </c>
      <c r="F984" s="14">
        <f t="shared" si="60"/>
        <v>69589.775395637378</v>
      </c>
      <c r="H984" s="14" cm="1">
        <f t="array" ref="H984:K984">MMULT($C983:$F983,P_Matrix)</f>
        <v>989991.68652741751</v>
      </c>
      <c r="I984" s="14">
        <v>860136.48002556467</v>
      </c>
      <c r="J984" s="14">
        <v>47992.948548715292</v>
      </c>
      <c r="K984" s="14">
        <v>139179.55079127455</v>
      </c>
      <c r="M984" s="12">
        <f>MAX((Inputs!F$25*POWER(1+(Inputs!$C$3-(Inputs!$C$3*(('Steady State'!$A984-1)/Inputs!$C$4))),'Steady State'!$A984-1)),M983)</f>
        <v>48712.842776949758</v>
      </c>
      <c r="N984" s="12">
        <f>MAX((Inputs!G$25*POWER(1+(Inputs!$C$3-(Inputs!$C$3*(('Steady State'!$A984-1)/Inputs!$C$4))),'Steady State'!$A984-1)),N983)</f>
        <v>20876.932618692754</v>
      </c>
      <c r="O984" s="12">
        <v>0</v>
      </c>
      <c r="P984" s="12">
        <v>0</v>
      </c>
    </row>
    <row r="985" spans="1:16" x14ac:dyDescent="0.35">
      <c r="A985">
        <v>983</v>
      </c>
      <c r="C985" s="14">
        <f t="shared" si="61"/>
        <v>1038704.5293043691</v>
      </c>
      <c r="D985" s="14">
        <f t="shared" si="62"/>
        <v>881013.41264426033</v>
      </c>
      <c r="E985" s="14">
        <f t="shared" si="63"/>
        <v>47992.948548715416</v>
      </c>
      <c r="F985" s="14">
        <f t="shared" si="60"/>
        <v>69589.775395637553</v>
      </c>
      <c r="H985" s="14" cm="1">
        <f t="array" ref="H985:K985">MMULT($C984:$F984,P_Matrix)</f>
        <v>989991.68652741937</v>
      </c>
      <c r="I985" s="14">
        <v>860136.48002556758</v>
      </c>
      <c r="J985" s="14">
        <v>47992.948548715416</v>
      </c>
      <c r="K985" s="14">
        <v>139179.55079127493</v>
      </c>
      <c r="M985" s="12">
        <f>MAX((Inputs!F$25*POWER(1+(Inputs!$C$3-(Inputs!$C$3*(('Steady State'!$A985-1)/Inputs!$C$4))),'Steady State'!$A985-1)),M984)</f>
        <v>48712.842776949758</v>
      </c>
      <c r="N985" s="12">
        <f>MAX((Inputs!G$25*POWER(1+(Inputs!$C$3-(Inputs!$C$3*(('Steady State'!$A985-1)/Inputs!$C$4))),'Steady State'!$A985-1)),N984)</f>
        <v>20876.932618692754</v>
      </c>
      <c r="O985" s="12">
        <v>0</v>
      </c>
      <c r="P985" s="12">
        <v>0</v>
      </c>
    </row>
    <row r="986" spans="1:16" x14ac:dyDescent="0.35">
      <c r="A986">
        <v>984</v>
      </c>
      <c r="C986" s="14">
        <f t="shared" si="61"/>
        <v>1038704.5293043709</v>
      </c>
      <c r="D986" s="14">
        <f t="shared" si="62"/>
        <v>881013.41264426324</v>
      </c>
      <c r="E986" s="14">
        <f t="shared" si="63"/>
        <v>47992.948548715547</v>
      </c>
      <c r="F986" s="14">
        <f t="shared" si="60"/>
        <v>69589.775395637727</v>
      </c>
      <c r="H986" s="14" cm="1">
        <f t="array" ref="H986:K986">MMULT($C985:$F985,P_Matrix)</f>
        <v>989991.68652742112</v>
      </c>
      <c r="I986" s="14">
        <v>860136.48002557049</v>
      </c>
      <c r="J986" s="14">
        <v>47992.948548715547</v>
      </c>
      <c r="K986" s="14">
        <v>139179.55079127528</v>
      </c>
      <c r="M986" s="12">
        <f>MAX((Inputs!F$25*POWER(1+(Inputs!$C$3-(Inputs!$C$3*(('Steady State'!$A986-1)/Inputs!$C$4))),'Steady State'!$A986-1)),M985)</f>
        <v>48712.842776949758</v>
      </c>
      <c r="N986" s="12">
        <f>MAX((Inputs!G$25*POWER(1+(Inputs!$C$3-(Inputs!$C$3*(('Steady State'!$A986-1)/Inputs!$C$4))),'Steady State'!$A986-1)),N985)</f>
        <v>20876.932618692754</v>
      </c>
      <c r="O986" s="12">
        <v>0</v>
      </c>
      <c r="P986" s="12">
        <v>0</v>
      </c>
    </row>
    <row r="987" spans="1:16" x14ac:dyDescent="0.35">
      <c r="A987">
        <v>985</v>
      </c>
      <c r="C987" s="14">
        <f t="shared" si="61"/>
        <v>1038704.5293043725</v>
      </c>
      <c r="D987" s="14">
        <f t="shared" si="62"/>
        <v>881013.41264426592</v>
      </c>
      <c r="E987" s="14">
        <f t="shared" si="63"/>
        <v>47992.948548715663</v>
      </c>
      <c r="F987" s="14">
        <f t="shared" si="60"/>
        <v>69589.775395637902</v>
      </c>
      <c r="H987" s="14" cm="1">
        <f t="array" ref="H987:K987">MMULT($C986:$F986,P_Matrix)</f>
        <v>989991.68652742275</v>
      </c>
      <c r="I987" s="14">
        <v>860136.48002557317</v>
      </c>
      <c r="J987" s="14">
        <v>47992.948548715663</v>
      </c>
      <c r="K987" s="14">
        <v>139179.55079127563</v>
      </c>
      <c r="M987" s="12">
        <f>MAX((Inputs!F$25*POWER(1+(Inputs!$C$3-(Inputs!$C$3*(('Steady State'!$A987-1)/Inputs!$C$4))),'Steady State'!$A987-1)),M986)</f>
        <v>48712.842776949758</v>
      </c>
      <c r="N987" s="12">
        <f>MAX((Inputs!G$25*POWER(1+(Inputs!$C$3-(Inputs!$C$3*(('Steady State'!$A987-1)/Inputs!$C$4))),'Steady State'!$A987-1)),N986)</f>
        <v>20876.932618692754</v>
      </c>
      <c r="O987" s="12">
        <v>0</v>
      </c>
      <c r="P987" s="12">
        <v>0</v>
      </c>
    </row>
    <row r="988" spans="1:16" x14ac:dyDescent="0.35">
      <c r="A988">
        <v>986</v>
      </c>
      <c r="C988" s="14">
        <f t="shared" si="61"/>
        <v>1038704.5293043741</v>
      </c>
      <c r="D988" s="14">
        <f t="shared" si="62"/>
        <v>881013.41264426848</v>
      </c>
      <c r="E988" s="14">
        <f t="shared" si="63"/>
        <v>47992.94854871578</v>
      </c>
      <c r="F988" s="14">
        <f t="shared" si="60"/>
        <v>69589.775395638077</v>
      </c>
      <c r="H988" s="14" cm="1">
        <f t="array" ref="H988:K988">MMULT($C987:$F987,P_Matrix)</f>
        <v>989991.68652742438</v>
      </c>
      <c r="I988" s="14">
        <v>860136.48002557573</v>
      </c>
      <c r="J988" s="14">
        <v>47992.94854871578</v>
      </c>
      <c r="K988" s="14">
        <v>139179.55079127598</v>
      </c>
      <c r="M988" s="12">
        <f>MAX((Inputs!F$25*POWER(1+(Inputs!$C$3-(Inputs!$C$3*(('Steady State'!$A988-1)/Inputs!$C$4))),'Steady State'!$A988-1)),M987)</f>
        <v>48712.842776949758</v>
      </c>
      <c r="N988" s="12">
        <f>MAX((Inputs!G$25*POWER(1+(Inputs!$C$3-(Inputs!$C$3*(('Steady State'!$A988-1)/Inputs!$C$4))),'Steady State'!$A988-1)),N987)</f>
        <v>20876.932618692754</v>
      </c>
      <c r="O988" s="12">
        <v>0</v>
      </c>
      <c r="P988" s="12">
        <v>0</v>
      </c>
    </row>
    <row r="989" spans="1:16" x14ac:dyDescent="0.35">
      <c r="A989">
        <v>987</v>
      </c>
      <c r="C989" s="14">
        <f t="shared" si="61"/>
        <v>1038704.5293043756</v>
      </c>
      <c r="D989" s="14">
        <f t="shared" si="62"/>
        <v>881013.41264427092</v>
      </c>
      <c r="E989" s="14">
        <f t="shared" si="63"/>
        <v>47992.948548715896</v>
      </c>
      <c r="F989" s="14">
        <f t="shared" si="60"/>
        <v>69589.775395638222</v>
      </c>
      <c r="H989" s="14" cm="1">
        <f t="array" ref="H989:K989">MMULT($C988:$F988,P_Matrix)</f>
        <v>989991.68652742589</v>
      </c>
      <c r="I989" s="14">
        <v>860136.48002557817</v>
      </c>
      <c r="J989" s="14">
        <v>47992.948548715896</v>
      </c>
      <c r="K989" s="14">
        <v>139179.5507912763</v>
      </c>
      <c r="M989" s="12">
        <f>MAX((Inputs!F$25*POWER(1+(Inputs!$C$3-(Inputs!$C$3*(('Steady State'!$A989-1)/Inputs!$C$4))),'Steady State'!$A989-1)),M988)</f>
        <v>48712.842776949758</v>
      </c>
      <c r="N989" s="12">
        <f>MAX((Inputs!G$25*POWER(1+(Inputs!$C$3-(Inputs!$C$3*(('Steady State'!$A989-1)/Inputs!$C$4))),'Steady State'!$A989-1)),N988)</f>
        <v>20876.932618692754</v>
      </c>
      <c r="O989" s="12">
        <v>0</v>
      </c>
      <c r="P989" s="12">
        <v>0</v>
      </c>
    </row>
    <row r="990" spans="1:16" x14ac:dyDescent="0.35">
      <c r="A990">
        <v>988</v>
      </c>
      <c r="C990" s="14">
        <f t="shared" si="61"/>
        <v>1038704.529304377</v>
      </c>
      <c r="D990" s="14">
        <f t="shared" si="62"/>
        <v>881013.41264427349</v>
      </c>
      <c r="E990" s="14">
        <f t="shared" si="63"/>
        <v>47992.948548716005</v>
      </c>
      <c r="F990" s="14">
        <f t="shared" si="60"/>
        <v>69589.775395638368</v>
      </c>
      <c r="H990" s="14" cm="1">
        <f t="array" ref="H990:K990">MMULT($C989:$F989,P_Matrix)</f>
        <v>989991.68652742729</v>
      </c>
      <c r="I990" s="14">
        <v>860136.48002558073</v>
      </c>
      <c r="J990" s="14">
        <v>47992.948548716005</v>
      </c>
      <c r="K990" s="14">
        <v>139179.55079127659</v>
      </c>
      <c r="M990" s="12">
        <f>MAX((Inputs!F$25*POWER(1+(Inputs!$C$3-(Inputs!$C$3*(('Steady State'!$A990-1)/Inputs!$C$4))),'Steady State'!$A990-1)),M989)</f>
        <v>48712.842776949758</v>
      </c>
      <c r="N990" s="12">
        <f>MAX((Inputs!G$25*POWER(1+(Inputs!$C$3-(Inputs!$C$3*(('Steady State'!$A990-1)/Inputs!$C$4))),'Steady State'!$A990-1)),N989)</f>
        <v>20876.932618692754</v>
      </c>
      <c r="O990" s="12">
        <v>0</v>
      </c>
      <c r="P990" s="12">
        <v>0</v>
      </c>
    </row>
    <row r="991" spans="1:16" x14ac:dyDescent="0.35">
      <c r="A991">
        <v>989</v>
      </c>
      <c r="C991" s="14">
        <f t="shared" si="61"/>
        <v>1038704.5293043784</v>
      </c>
      <c r="D991" s="14">
        <f t="shared" si="62"/>
        <v>881013.41264427593</v>
      </c>
      <c r="E991" s="14">
        <f t="shared" si="63"/>
        <v>47992.948548716115</v>
      </c>
      <c r="F991" s="14">
        <f t="shared" si="60"/>
        <v>69589.775395638513</v>
      </c>
      <c r="H991" s="14" cm="1">
        <f t="array" ref="H991:K991">MMULT($C990:$F990,P_Matrix)</f>
        <v>989991.68652742868</v>
      </c>
      <c r="I991" s="14">
        <v>860136.48002558318</v>
      </c>
      <c r="J991" s="14">
        <v>47992.948548716115</v>
      </c>
      <c r="K991" s="14">
        <v>139179.55079127688</v>
      </c>
      <c r="M991" s="12">
        <f>MAX((Inputs!F$25*POWER(1+(Inputs!$C$3-(Inputs!$C$3*(('Steady State'!$A991-1)/Inputs!$C$4))),'Steady State'!$A991-1)),M990)</f>
        <v>48712.842776949758</v>
      </c>
      <c r="N991" s="12">
        <f>MAX((Inputs!G$25*POWER(1+(Inputs!$C$3-(Inputs!$C$3*(('Steady State'!$A991-1)/Inputs!$C$4))),'Steady State'!$A991-1)),N990)</f>
        <v>20876.932618692754</v>
      </c>
      <c r="O991" s="12">
        <v>0</v>
      </c>
      <c r="P991" s="12">
        <v>0</v>
      </c>
    </row>
    <row r="992" spans="1:16" x14ac:dyDescent="0.35">
      <c r="A992">
        <v>990</v>
      </c>
      <c r="C992" s="14">
        <f t="shared" si="61"/>
        <v>1038704.5293043797</v>
      </c>
      <c r="D992" s="14">
        <f t="shared" si="62"/>
        <v>881013.41264427826</v>
      </c>
      <c r="E992" s="14">
        <f t="shared" si="63"/>
        <v>47992.948548716216</v>
      </c>
      <c r="F992" s="14">
        <f t="shared" si="60"/>
        <v>69589.775395638659</v>
      </c>
      <c r="H992" s="14" cm="1">
        <f t="array" ref="H992:K992">MMULT($C991:$F991,P_Matrix)</f>
        <v>989991.68652742996</v>
      </c>
      <c r="I992" s="14">
        <v>860136.48002558551</v>
      </c>
      <c r="J992" s="14">
        <v>47992.948548716216</v>
      </c>
      <c r="K992" s="14">
        <v>139179.55079127717</v>
      </c>
      <c r="M992" s="12">
        <f>MAX((Inputs!F$25*POWER(1+(Inputs!$C$3-(Inputs!$C$3*(('Steady State'!$A992-1)/Inputs!$C$4))),'Steady State'!$A992-1)),M991)</f>
        <v>48712.842776949758</v>
      </c>
      <c r="N992" s="12">
        <f>MAX((Inputs!G$25*POWER(1+(Inputs!$C$3-(Inputs!$C$3*(('Steady State'!$A992-1)/Inputs!$C$4))),'Steady State'!$A992-1)),N991)</f>
        <v>20876.932618692754</v>
      </c>
      <c r="O992" s="12">
        <v>0</v>
      </c>
      <c r="P992" s="12">
        <v>0</v>
      </c>
    </row>
    <row r="993" spans="1:16" x14ac:dyDescent="0.35">
      <c r="A993">
        <v>991</v>
      </c>
      <c r="C993" s="14">
        <f t="shared" si="61"/>
        <v>1038704.529304381</v>
      </c>
      <c r="D993" s="14">
        <f t="shared" si="62"/>
        <v>881013.41264428047</v>
      </c>
      <c r="E993" s="14">
        <f t="shared" si="63"/>
        <v>47992.948548716304</v>
      </c>
      <c r="F993" s="14">
        <f t="shared" si="60"/>
        <v>69589.775395638775</v>
      </c>
      <c r="H993" s="14" cm="1">
        <f t="array" ref="H993:K993">MMULT($C992:$F992,P_Matrix)</f>
        <v>989991.68652743124</v>
      </c>
      <c r="I993" s="14">
        <v>860136.48002558772</v>
      </c>
      <c r="J993" s="14">
        <v>47992.948548716304</v>
      </c>
      <c r="K993" s="14">
        <v>139179.55079127743</v>
      </c>
      <c r="M993" s="12">
        <f>MAX((Inputs!F$25*POWER(1+(Inputs!$C$3-(Inputs!$C$3*(('Steady State'!$A993-1)/Inputs!$C$4))),'Steady State'!$A993-1)),M992)</f>
        <v>48712.842776949758</v>
      </c>
      <c r="N993" s="12">
        <f>MAX((Inputs!G$25*POWER(1+(Inputs!$C$3-(Inputs!$C$3*(('Steady State'!$A993-1)/Inputs!$C$4))),'Steady State'!$A993-1)),N992)</f>
        <v>20876.932618692754</v>
      </c>
      <c r="O993" s="12">
        <v>0</v>
      </c>
      <c r="P993" s="12">
        <v>0</v>
      </c>
    </row>
    <row r="994" spans="1:16" x14ac:dyDescent="0.35">
      <c r="A994">
        <v>992</v>
      </c>
      <c r="C994" s="14">
        <f t="shared" si="61"/>
        <v>1038704.5293043823</v>
      </c>
      <c r="D994" s="14">
        <f t="shared" si="62"/>
        <v>881013.41264428268</v>
      </c>
      <c r="E994" s="14">
        <f t="shared" si="63"/>
        <v>47992.948548716398</v>
      </c>
      <c r="F994" s="14">
        <f t="shared" si="60"/>
        <v>69589.775395638921</v>
      </c>
      <c r="H994" s="14" cm="1">
        <f t="array" ref="H994:K994">MMULT($C993:$F993,P_Matrix)</f>
        <v>989991.68652743252</v>
      </c>
      <c r="I994" s="14">
        <v>860136.48002558993</v>
      </c>
      <c r="J994" s="14">
        <v>47992.948548716398</v>
      </c>
      <c r="K994" s="14">
        <v>139179.5507912777</v>
      </c>
      <c r="M994" s="12">
        <f>MAX((Inputs!F$25*POWER(1+(Inputs!$C$3-(Inputs!$C$3*(('Steady State'!$A994-1)/Inputs!$C$4))),'Steady State'!$A994-1)),M993)</f>
        <v>48712.842776949758</v>
      </c>
      <c r="N994" s="12">
        <f>MAX((Inputs!G$25*POWER(1+(Inputs!$C$3-(Inputs!$C$3*(('Steady State'!$A994-1)/Inputs!$C$4))),'Steady State'!$A994-1)),N993)</f>
        <v>20876.932618692754</v>
      </c>
      <c r="O994" s="12">
        <v>0</v>
      </c>
      <c r="P994" s="12">
        <v>0</v>
      </c>
    </row>
    <row r="995" spans="1:16" x14ac:dyDescent="0.35">
      <c r="A995">
        <v>993</v>
      </c>
      <c r="C995" s="14">
        <f t="shared" si="61"/>
        <v>1038704.5293043836</v>
      </c>
      <c r="D995" s="14">
        <f t="shared" si="62"/>
        <v>881013.41264428478</v>
      </c>
      <c r="E995" s="14">
        <f t="shared" si="63"/>
        <v>47992.948548716486</v>
      </c>
      <c r="F995" s="14">
        <f t="shared" si="60"/>
        <v>69589.775395639037</v>
      </c>
      <c r="H995" s="14" cm="1">
        <f t="array" ref="H995:K995">MMULT($C994:$F994,P_Matrix)</f>
        <v>989991.68652743381</v>
      </c>
      <c r="I995" s="14">
        <v>860136.48002559203</v>
      </c>
      <c r="J995" s="14">
        <v>47992.948548716486</v>
      </c>
      <c r="K995" s="14">
        <v>139179.55079127796</v>
      </c>
      <c r="M995" s="12">
        <f>MAX((Inputs!F$25*POWER(1+(Inputs!$C$3-(Inputs!$C$3*(('Steady State'!$A995-1)/Inputs!$C$4))),'Steady State'!$A995-1)),M994)</f>
        <v>48712.842776949758</v>
      </c>
      <c r="N995" s="12">
        <f>MAX((Inputs!G$25*POWER(1+(Inputs!$C$3-(Inputs!$C$3*(('Steady State'!$A995-1)/Inputs!$C$4))),'Steady State'!$A995-1)),N994)</f>
        <v>20876.932618692754</v>
      </c>
      <c r="O995" s="12">
        <v>0</v>
      </c>
      <c r="P995" s="12">
        <v>0</v>
      </c>
    </row>
    <row r="996" spans="1:16" x14ac:dyDescent="0.35">
      <c r="A996">
        <v>994</v>
      </c>
      <c r="C996" s="14">
        <f t="shared" si="61"/>
        <v>1038704.5293043847</v>
      </c>
      <c r="D996" s="14">
        <f t="shared" si="62"/>
        <v>881013.41264428676</v>
      </c>
      <c r="E996" s="14">
        <f t="shared" si="63"/>
        <v>47992.948548716573</v>
      </c>
      <c r="F996" s="14">
        <f t="shared" si="60"/>
        <v>69589.775395639153</v>
      </c>
      <c r="H996" s="14" cm="1">
        <f t="array" ref="H996:K996">MMULT($C995:$F995,P_Matrix)</f>
        <v>989991.68652743497</v>
      </c>
      <c r="I996" s="14">
        <v>860136.48002559401</v>
      </c>
      <c r="J996" s="14">
        <v>47992.948548716573</v>
      </c>
      <c r="K996" s="14">
        <v>139179.55079127819</v>
      </c>
      <c r="M996" s="12">
        <f>MAX((Inputs!F$25*POWER(1+(Inputs!$C$3-(Inputs!$C$3*(('Steady State'!$A996-1)/Inputs!$C$4))),'Steady State'!$A996-1)),M995)</f>
        <v>48712.842776949758</v>
      </c>
      <c r="N996" s="12">
        <f>MAX((Inputs!G$25*POWER(1+(Inputs!$C$3-(Inputs!$C$3*(('Steady State'!$A996-1)/Inputs!$C$4))),'Steady State'!$A996-1)),N995)</f>
        <v>20876.932618692754</v>
      </c>
      <c r="O996" s="12">
        <v>0</v>
      </c>
      <c r="P996" s="12">
        <v>0</v>
      </c>
    </row>
    <row r="997" spans="1:16" x14ac:dyDescent="0.35">
      <c r="A997">
        <v>995</v>
      </c>
      <c r="C997" s="14">
        <f t="shared" si="61"/>
        <v>1038704.5293043859</v>
      </c>
      <c r="D997" s="14">
        <f t="shared" si="62"/>
        <v>881013.41264428862</v>
      </c>
      <c r="E997" s="14">
        <f t="shared" si="63"/>
        <v>47992.94854871666</v>
      </c>
      <c r="F997" s="14">
        <f t="shared" si="60"/>
        <v>69589.77539563927</v>
      </c>
      <c r="H997" s="14" cm="1">
        <f t="array" ref="H997:K997">MMULT($C996:$F996,P_Matrix)</f>
        <v>989991.68652743613</v>
      </c>
      <c r="I997" s="14">
        <v>860136.48002559587</v>
      </c>
      <c r="J997" s="14">
        <v>47992.94854871666</v>
      </c>
      <c r="K997" s="14">
        <v>139179.55079127842</v>
      </c>
      <c r="M997" s="12">
        <f>MAX((Inputs!F$25*POWER(1+(Inputs!$C$3-(Inputs!$C$3*(('Steady State'!$A997-1)/Inputs!$C$4))),'Steady State'!$A997-1)),M996)</f>
        <v>48712.842776949758</v>
      </c>
      <c r="N997" s="12">
        <f>MAX((Inputs!G$25*POWER(1+(Inputs!$C$3-(Inputs!$C$3*(('Steady State'!$A997-1)/Inputs!$C$4))),'Steady State'!$A997-1)),N996)</f>
        <v>20876.932618692754</v>
      </c>
      <c r="O997" s="12">
        <v>0</v>
      </c>
      <c r="P997" s="12">
        <v>0</v>
      </c>
    </row>
    <row r="998" spans="1:16" x14ac:dyDescent="0.35">
      <c r="A998">
        <v>996</v>
      </c>
      <c r="C998" s="14">
        <f t="shared" si="61"/>
        <v>1038704.5293043869</v>
      </c>
      <c r="D998" s="14">
        <f t="shared" si="62"/>
        <v>881013.41264429037</v>
      </c>
      <c r="E998" s="14">
        <f t="shared" si="63"/>
        <v>47992.94854871674</v>
      </c>
      <c r="F998" s="14">
        <f t="shared" si="60"/>
        <v>69589.775395639386</v>
      </c>
      <c r="H998" s="14" cm="1">
        <f t="array" ref="H998:K998">MMULT($C997:$F997,P_Matrix)</f>
        <v>989991.68652743718</v>
      </c>
      <c r="I998" s="14">
        <v>860136.48002559762</v>
      </c>
      <c r="J998" s="14">
        <v>47992.94854871674</v>
      </c>
      <c r="K998" s="14">
        <v>139179.55079127866</v>
      </c>
      <c r="M998" s="12">
        <f>MAX((Inputs!F$25*POWER(1+(Inputs!$C$3-(Inputs!$C$3*(('Steady State'!$A998-1)/Inputs!$C$4))),'Steady State'!$A998-1)),M997)</f>
        <v>48712.842776949758</v>
      </c>
      <c r="N998" s="12">
        <f>MAX((Inputs!G$25*POWER(1+(Inputs!$C$3-(Inputs!$C$3*(('Steady State'!$A998-1)/Inputs!$C$4))),'Steady State'!$A998-1)),N997)</f>
        <v>20876.932618692754</v>
      </c>
      <c r="O998" s="12">
        <v>0</v>
      </c>
      <c r="P998" s="12">
        <v>0</v>
      </c>
    </row>
    <row r="999" spans="1:16" x14ac:dyDescent="0.35">
      <c r="A999">
        <v>997</v>
      </c>
      <c r="C999" s="14">
        <f t="shared" si="61"/>
        <v>1038704.5293043881</v>
      </c>
      <c r="D999" s="14">
        <f t="shared" si="62"/>
        <v>881013.41264429223</v>
      </c>
      <c r="E999" s="14">
        <f t="shared" si="63"/>
        <v>47992.94854871682</v>
      </c>
      <c r="F999" s="14">
        <f t="shared" si="60"/>
        <v>69589.775395639503</v>
      </c>
      <c r="H999" s="14" cm="1">
        <f t="array" ref="H999:K999">MMULT($C998:$F998,P_Matrix)</f>
        <v>989991.68652743835</v>
      </c>
      <c r="I999" s="14">
        <v>860136.48002559948</v>
      </c>
      <c r="J999" s="14">
        <v>47992.94854871682</v>
      </c>
      <c r="K999" s="14">
        <v>139179.55079127889</v>
      </c>
      <c r="M999" s="12">
        <f>MAX((Inputs!F$25*POWER(1+(Inputs!$C$3-(Inputs!$C$3*(('Steady State'!$A999-1)/Inputs!$C$4))),'Steady State'!$A999-1)),M998)</f>
        <v>48712.842776949758</v>
      </c>
      <c r="N999" s="12">
        <f>MAX((Inputs!G$25*POWER(1+(Inputs!$C$3-(Inputs!$C$3*(('Steady State'!$A999-1)/Inputs!$C$4))),'Steady State'!$A999-1)),N998)</f>
        <v>20876.932618692754</v>
      </c>
      <c r="O999" s="12">
        <v>0</v>
      </c>
      <c r="P999" s="12">
        <v>0</v>
      </c>
    </row>
    <row r="1000" spans="1:16" x14ac:dyDescent="0.35">
      <c r="A1000">
        <v>998</v>
      </c>
      <c r="C1000" s="14">
        <f t="shared" si="61"/>
        <v>1038704.5293043891</v>
      </c>
      <c r="D1000" s="14">
        <f t="shared" si="62"/>
        <v>881013.41264429397</v>
      </c>
      <c r="E1000" s="14">
        <f t="shared" si="63"/>
        <v>47992.9485487169</v>
      </c>
      <c r="F1000" s="14">
        <f t="shared" si="60"/>
        <v>69589.775395639619</v>
      </c>
      <c r="H1000" s="14" cm="1">
        <f t="array" ref="H1000:K1000">MMULT($C999:$F999,P_Matrix)</f>
        <v>989991.68652743939</v>
      </c>
      <c r="I1000" s="14">
        <v>860136.48002560122</v>
      </c>
      <c r="J1000" s="14">
        <v>47992.9485487169</v>
      </c>
      <c r="K1000" s="14">
        <v>139179.55079127912</v>
      </c>
      <c r="M1000" s="12">
        <f>MAX((Inputs!F$25*POWER(1+(Inputs!$C$3-(Inputs!$C$3*(('Steady State'!$A1000-1)/Inputs!$C$4))),'Steady State'!$A1000-1)),M999)</f>
        <v>48712.842776949758</v>
      </c>
      <c r="N1000" s="12">
        <f>MAX((Inputs!G$25*POWER(1+(Inputs!$C$3-(Inputs!$C$3*(('Steady State'!$A1000-1)/Inputs!$C$4))),'Steady State'!$A1000-1)),N999)</f>
        <v>20876.932618692754</v>
      </c>
      <c r="O1000" s="12">
        <v>0</v>
      </c>
      <c r="P1000" s="12">
        <v>0</v>
      </c>
    </row>
    <row r="1001" spans="1:16" x14ac:dyDescent="0.35">
      <c r="A1001">
        <v>999</v>
      </c>
      <c r="C1001" s="14">
        <f t="shared" si="61"/>
        <v>1038704.5293043902</v>
      </c>
      <c r="D1001" s="14">
        <f t="shared" si="62"/>
        <v>881013.4126442956</v>
      </c>
      <c r="E1001" s="14">
        <f t="shared" si="63"/>
        <v>47992.948548716973</v>
      </c>
      <c r="F1001" s="14">
        <f t="shared" si="60"/>
        <v>69589.775395639736</v>
      </c>
      <c r="H1001" s="14" cm="1">
        <f t="array" ref="H1001:K1001">MMULT($C1000:$F1000,P_Matrix)</f>
        <v>989991.68652744044</v>
      </c>
      <c r="I1001" s="14">
        <v>860136.48002560285</v>
      </c>
      <c r="J1001" s="14">
        <v>47992.948548716973</v>
      </c>
      <c r="K1001" s="14">
        <v>139179.55079127935</v>
      </c>
      <c r="M1001" s="12">
        <f>MAX((Inputs!F$25*POWER(1+(Inputs!$C$3-(Inputs!$C$3*(('Steady State'!$A1001-1)/Inputs!$C$4))),'Steady State'!$A1001-1)),M1000)</f>
        <v>48712.842776949758</v>
      </c>
      <c r="N1001" s="12">
        <f>MAX((Inputs!G$25*POWER(1+(Inputs!$C$3-(Inputs!$C$3*(('Steady State'!$A1001-1)/Inputs!$C$4))),'Steady State'!$A1001-1)),N1000)</f>
        <v>20876.932618692754</v>
      </c>
      <c r="O1001" s="12">
        <v>0</v>
      </c>
      <c r="P1001" s="12">
        <v>0</v>
      </c>
    </row>
    <row r="1002" spans="1:16" x14ac:dyDescent="0.35">
      <c r="A1002">
        <v>1000</v>
      </c>
      <c r="C1002" s="14">
        <f t="shared" si="61"/>
        <v>1038704.5293043911</v>
      </c>
      <c r="D1002" s="14">
        <f t="shared" si="62"/>
        <v>881013.41264429712</v>
      </c>
      <c r="E1002" s="14">
        <f t="shared" si="63"/>
        <v>47992.948548717039</v>
      </c>
      <c r="F1002" s="14">
        <f t="shared" si="60"/>
        <v>69589.775395639794</v>
      </c>
      <c r="G1002" s="12">
        <f t="shared" ref="G1002" si="64">IF(AND(INT(F1001)=INT(F1002),INT(E1001)=INT(E1002),INT(D1001)=INT(D1002),INT(C1001)=INT(C1002)),1,0)</f>
        <v>1</v>
      </c>
      <c r="H1002" s="14" cm="1">
        <f t="array" ref="H1002:K1002">MMULT($C1001:$F1001,P_Matrix)</f>
        <v>989991.68652744137</v>
      </c>
      <c r="I1002" s="14">
        <v>860136.48002560437</v>
      </c>
      <c r="J1002" s="14">
        <v>47992.948548717039</v>
      </c>
      <c r="K1002" s="14">
        <v>139179.55079127953</v>
      </c>
      <c r="M1002" s="12">
        <f>MAX((Inputs!F$25*POWER(1+(Inputs!$C$3-(Inputs!$C$3*(('Steady State'!$A1002-1)/Inputs!$C$4))),'Steady State'!$A1002-1)),M1001)</f>
        <v>48712.842776949758</v>
      </c>
      <c r="N1002" s="12">
        <f>MAX((Inputs!G$25*POWER(1+(Inputs!$C$3-(Inputs!$C$3*(('Steady State'!$A1002-1)/Inputs!$C$4))),'Steady State'!$A1002-1)),N1001)</f>
        <v>20876.932618692754</v>
      </c>
      <c r="O1002" s="12">
        <v>0</v>
      </c>
      <c r="P1002" s="12">
        <v>0</v>
      </c>
    </row>
  </sheetData>
  <mergeCells count="2">
    <mergeCell ref="H1:K1"/>
    <mergeCell ref="M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270-4A97-460D-A0DF-964830A650D8}">
  <dimension ref="A1:O22"/>
  <sheetViews>
    <sheetView workbookViewId="0">
      <selection activeCell="B4" sqref="B4"/>
    </sheetView>
  </sheetViews>
  <sheetFormatPr defaultRowHeight="14.5" x14ac:dyDescent="0.35"/>
  <cols>
    <col min="1" max="1" width="28.08984375" bestFit="1" customWidth="1"/>
    <col min="2" max="2" width="33.453125" bestFit="1" customWidth="1"/>
    <col min="3" max="3" width="18.453125" bestFit="1" customWidth="1"/>
    <col min="5" max="5" width="5.453125" customWidth="1"/>
    <col min="6" max="6" width="24.36328125" bestFit="1" customWidth="1"/>
    <col min="7" max="7" width="12" bestFit="1" customWidth="1"/>
    <col min="8" max="8" width="7.1796875" bestFit="1" customWidth="1"/>
    <col min="9" max="9" width="7.7265625" bestFit="1" customWidth="1"/>
    <col min="10" max="10" width="8.7265625" customWidth="1"/>
    <col min="12" max="12" width="16.6328125" bestFit="1" customWidth="1"/>
    <col min="13" max="13" width="14.54296875" bestFit="1" customWidth="1"/>
    <col min="14" max="15" width="17.81640625" customWidth="1"/>
  </cols>
  <sheetData>
    <row r="1" spans="1:15" ht="18.5" x14ac:dyDescent="0.45">
      <c r="A1" s="5" t="s">
        <v>30</v>
      </c>
    </row>
    <row r="2" spans="1:15" x14ac:dyDescent="0.35">
      <c r="A2" t="s">
        <v>29</v>
      </c>
      <c r="B2" s="17">
        <v>10</v>
      </c>
    </row>
    <row r="3" spans="1:15" x14ac:dyDescent="0.35">
      <c r="A3" t="s">
        <v>31</v>
      </c>
      <c r="B3" s="6" t="s">
        <v>46</v>
      </c>
      <c r="C3" s="19">
        <f>VLOOKUP($B$2,'Steady State'!A:F,3)*BasicPlanPrice</f>
        <v>7544177.855606623</v>
      </c>
    </row>
    <row r="4" spans="1:15" x14ac:dyDescent="0.35">
      <c r="B4" s="1" t="s">
        <v>47</v>
      </c>
      <c r="C4" s="19">
        <f>VLOOKUP($B$2,'Steady State'!A:F,4)*PremiumPlanPrice</f>
        <v>7669381.3683684645</v>
      </c>
      <c r="F4" s="2"/>
      <c r="G4" s="6"/>
      <c r="N4" s="20" t="str">
        <f>_xlfn.CONCAT("Potential Growth After Month ",B2)</f>
        <v>Potential Growth After Month 10</v>
      </c>
      <c r="O4" s="20"/>
    </row>
    <row r="5" spans="1:15" x14ac:dyDescent="0.35">
      <c r="B5" t="s">
        <v>32</v>
      </c>
      <c r="C5" s="19">
        <f>C3+C4</f>
        <v>15213559.223975088</v>
      </c>
      <c r="F5" s="2"/>
      <c r="G5" s="6"/>
      <c r="N5" t="s">
        <v>43</v>
      </c>
      <c r="O5" s="18">
        <f>C6</f>
        <v>182562710.68770105</v>
      </c>
    </row>
    <row r="6" spans="1:15" x14ac:dyDescent="0.35">
      <c r="B6" t="s">
        <v>33</v>
      </c>
      <c r="C6" s="19">
        <f>C5*12</f>
        <v>182562710.68770105</v>
      </c>
      <c r="F6" s="2"/>
      <c r="G6" s="6"/>
      <c r="N6" t="s">
        <v>44</v>
      </c>
      <c r="O6" s="18">
        <f>O7-O5</f>
        <v>236991645.52518374</v>
      </c>
    </row>
    <row r="7" spans="1:15" x14ac:dyDescent="0.35">
      <c r="B7" t="s">
        <v>36</v>
      </c>
      <c r="C7" s="6">
        <f>C5/(VLOOKUP(B2,'Steady State'!A:D,3)+VLOOKUP(B2,'Steady State'!A:D,4))</f>
        <v>17.865654237967803</v>
      </c>
      <c r="F7" s="2"/>
      <c r="G7" s="6"/>
      <c r="N7" t="s">
        <v>42</v>
      </c>
      <c r="O7" s="18">
        <f>C22</f>
        <v>419554356.21288478</v>
      </c>
    </row>
    <row r="8" spans="1:15" x14ac:dyDescent="0.35">
      <c r="B8" t="str">
        <f>_xlfn.CONCAT("Gross Margin (In month ",B2,")")</f>
        <v>Gross Margin (In month 10)</v>
      </c>
      <c r="C8" s="18">
        <f>GrossMarginPercent*C5</f>
        <v>6846101.6507887896</v>
      </c>
      <c r="F8" t="s">
        <v>35</v>
      </c>
      <c r="G8" s="2" t="str">
        <f>IF('Steady State'!$G$1002=1,"Yes","No")</f>
        <v>Yes</v>
      </c>
      <c r="H8" s="6"/>
    </row>
    <row r="9" spans="1:15" x14ac:dyDescent="0.35">
      <c r="B9" s="2" t="str">
        <f>_xlfn.CONCAT("Acquisition Spend (In month ",$B$2,")")</f>
        <v>Acquisition Spend (In month 10)</v>
      </c>
      <c r="C9" s="19">
        <f>IFERROR(CAC*(VLOOKUP(B2,'Steady State'!A:P,13)+VLOOKUP(B2,'Steady State'!A:P,14)),"Cannot be Calculated")</f>
        <v>2620637.507616072</v>
      </c>
      <c r="F9" t="s">
        <v>27</v>
      </c>
      <c r="G9" s="2"/>
      <c r="H9" s="6"/>
    </row>
    <row r="10" spans="1:15" x14ac:dyDescent="0.35">
      <c r="B10" s="6"/>
      <c r="F10" s="14" t="str">
        <f>IF($G$8="Yes","Basic Plan","Could not be calculated")</f>
        <v>Basic Plan</v>
      </c>
      <c r="G10" s="14" t="str">
        <f>IF($G$8="Yes","Premium Plan","")</f>
        <v>Premium Plan</v>
      </c>
      <c r="H10" s="14" t="str">
        <f>IF($G$8="Yes","Inactive","")</f>
        <v>Inactive</v>
      </c>
      <c r="I10" s="14" t="str">
        <f>IF($G$8="Yes","Churned","")</f>
        <v>Churned</v>
      </c>
    </row>
    <row r="11" spans="1:15" x14ac:dyDescent="0.35">
      <c r="F11" s="12">
        <f>IF($G$8="Yes",'Steady State'!C1002,"")</f>
        <v>1038704.5293043911</v>
      </c>
      <c r="G11" s="12">
        <f>IF($G$8="Yes",'Steady State'!D1002,"")</f>
        <v>881013.41264429712</v>
      </c>
      <c r="H11" s="12">
        <f>IF($G$8="Yes",'Steady State'!E1002,"")</f>
        <v>47992.948548717039</v>
      </c>
      <c r="I11" s="12">
        <f>IF($G$8="Yes",'Steady State'!F1002,"")</f>
        <v>69589.775395639794</v>
      </c>
    </row>
    <row r="12" spans="1:15" x14ac:dyDescent="0.35">
      <c r="A12" t="s">
        <v>28</v>
      </c>
    </row>
    <row r="13" spans="1:15" x14ac:dyDescent="0.35">
      <c r="A13" t="s">
        <v>29</v>
      </c>
      <c r="B13" s="17">
        <v>10</v>
      </c>
      <c r="F13" t="str">
        <f>IF($G$8="Yes","Basic Plan Share","")</f>
        <v>Basic Plan Share</v>
      </c>
      <c r="G13" s="2">
        <f>IF($G$8="Yes",F11/(F11+G11),"")</f>
        <v>0.54107142857143464</v>
      </c>
    </row>
    <row r="14" spans="1:15" x14ac:dyDescent="0.35">
      <c r="F14" t="str">
        <f>IF($G$8="Yes","Premium Plan Share","")</f>
        <v>Premium Plan Share</v>
      </c>
      <c r="G14" s="2">
        <f>IF($G$8="Yes",G11/(F11+G11),"")</f>
        <v>0.45892857142856541</v>
      </c>
    </row>
    <row r="15" spans="1:15" x14ac:dyDescent="0.35">
      <c r="B15" s="1" t="s">
        <v>5</v>
      </c>
      <c r="C15" t="s">
        <v>6</v>
      </c>
      <c r="D15" t="s">
        <v>34</v>
      </c>
    </row>
    <row r="16" spans="1:15" x14ac:dyDescent="0.35">
      <c r="A16" t="str">
        <f>_xlfn.CONCAT("Number of Subscribers in Month ",B13)</f>
        <v>Number of Subscribers in Month 10</v>
      </c>
      <c r="B16" s="12">
        <f>VLOOKUP(B13,'Steady State'!A:D,3)</f>
        <v>502945.19037377485</v>
      </c>
      <c r="C16" s="12">
        <f>VLOOKUP(B13,'Steady State'!A:D,4)</f>
        <v>348608.24401674839</v>
      </c>
      <c r="D16" s="12">
        <f>B16+C16</f>
        <v>851553.43439052324</v>
      </c>
    </row>
    <row r="17" spans="1:4" x14ac:dyDescent="0.35">
      <c r="A17" t="s">
        <v>45</v>
      </c>
      <c r="B17" s="2">
        <f>VLOOKUP(B13,'Steady State'!A:D,3)/F11</f>
        <v>0.48420429119587227</v>
      </c>
      <c r="C17" s="2">
        <f>VLOOKUP(B13,'Steady State'!A:D,4)/G11</f>
        <v>0.39569005308378485</v>
      </c>
      <c r="D17" s="2">
        <f>(VLOOKUP(B13,'Steady State'!A:D,3)+VLOOKUP(B13,'Steady State'!A:D,4))/(F11+G11)</f>
        <v>0.44358257834800413</v>
      </c>
    </row>
    <row r="19" spans="1:4" x14ac:dyDescent="0.35">
      <c r="A19" t="s">
        <v>37</v>
      </c>
      <c r="B19" t="s">
        <v>38</v>
      </c>
      <c r="C19" s="18">
        <f>F11*BasicPlanPrice</f>
        <v>15580567.939565867</v>
      </c>
    </row>
    <row r="20" spans="1:4" x14ac:dyDescent="0.35">
      <c r="B20" t="s">
        <v>39</v>
      </c>
      <c r="C20" s="18">
        <f>G11*PremiumPlanPrice</f>
        <v>19382295.078174535</v>
      </c>
    </row>
    <row r="21" spans="1:4" x14ac:dyDescent="0.35">
      <c r="B21" t="s">
        <v>40</v>
      </c>
      <c r="C21" s="18">
        <f>C19+C20</f>
        <v>34962863.017740399</v>
      </c>
    </row>
    <row r="22" spans="1:4" x14ac:dyDescent="0.35">
      <c r="B22" t="s">
        <v>41</v>
      </c>
      <c r="C22" s="18">
        <f>C21*12</f>
        <v>419554356.21288478</v>
      </c>
    </row>
  </sheetData>
  <mergeCells count="1">
    <mergeCell ref="N4:O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08FB4C58FC9F49A0344338C3F0CFDC" ma:contentTypeVersion="13" ma:contentTypeDescription="Create a new document." ma:contentTypeScope="" ma:versionID="97cf156c20d95558137c016a52575bb8">
  <xsd:schema xmlns:xsd="http://www.w3.org/2001/XMLSchema" xmlns:xs="http://www.w3.org/2001/XMLSchema" xmlns:p="http://schemas.microsoft.com/office/2006/metadata/properties" xmlns:ns3="e3fc3c77-b2f6-4270-83de-8717632a8819" xmlns:ns4="5bfbc7c2-085a-41aa-b0ea-91947d07b87a" targetNamespace="http://schemas.microsoft.com/office/2006/metadata/properties" ma:root="true" ma:fieldsID="f699f597605cb0224750a6885e7c1a3c" ns3:_="" ns4:_="">
    <xsd:import namespace="e3fc3c77-b2f6-4270-83de-8717632a8819"/>
    <xsd:import namespace="5bfbc7c2-085a-41aa-b0ea-91947d07b8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c3c77-b2f6-4270-83de-8717632a8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bc7c2-085a-41aa-b0ea-91947d07b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fc3c77-b2f6-4270-83de-8717632a8819" xsi:nil="true"/>
  </documentManagement>
</p:properties>
</file>

<file path=customXml/itemProps1.xml><?xml version="1.0" encoding="utf-8"?>
<ds:datastoreItem xmlns:ds="http://schemas.openxmlformats.org/officeDocument/2006/customXml" ds:itemID="{6F5F2244-A4D1-459C-AADE-632BAE47C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c3c77-b2f6-4270-83de-8717632a8819"/>
    <ds:schemaRef ds:uri="5bfbc7c2-085a-41aa-b0ea-91947d07b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5EB68F-DCEB-46A6-A252-4AA5C1A30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5CDF7A-C22A-4658-BE84-B369CCF9CF49}">
  <ds:schemaRefs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bfbc7c2-085a-41aa-b0ea-91947d07b87a"/>
    <ds:schemaRef ds:uri="e3fc3c77-b2f6-4270-83de-8717632a8819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Inputs</vt:lpstr>
      <vt:lpstr>Steady State</vt:lpstr>
      <vt:lpstr>Risk Metrics</vt:lpstr>
      <vt:lpstr>BasicPlan_Growth</vt:lpstr>
      <vt:lpstr>BasicPlanPrice</vt:lpstr>
      <vt:lpstr>Beg_InactiveSubs</vt:lpstr>
      <vt:lpstr>BegActiveSubs</vt:lpstr>
      <vt:lpstr>BegBasicSubs</vt:lpstr>
      <vt:lpstr>BegPremiumSubs</vt:lpstr>
      <vt:lpstr>CAC</vt:lpstr>
      <vt:lpstr>GrossMarginPercent</vt:lpstr>
      <vt:lpstr>New_Signups</vt:lpstr>
      <vt:lpstr>P_Matrix</vt:lpstr>
      <vt:lpstr>PremiumPlan_Grwoth</vt:lpstr>
      <vt:lpstr>PremiumPlanPrice</vt:lpstr>
      <vt:lpstr>Time_Horizon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Pengra</dc:creator>
  <cp:lastModifiedBy>Michael Pengra</cp:lastModifiedBy>
  <dcterms:created xsi:type="dcterms:W3CDTF">2025-12-14T18:52:09Z</dcterms:created>
  <dcterms:modified xsi:type="dcterms:W3CDTF">2025-12-19T23:37:24Z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0x010100B508FB4C58FC9F49A0344338C3F0CFDC</vt:lpwstr>
  </property>
</Properties>
</file>